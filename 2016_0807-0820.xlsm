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N:\SUPPORT\Schedule\"/>
    </mc:Choice>
  </mc:AlternateContent>
  <bookViews>
    <workbookView xWindow="0" yWindow="0" windowWidth="15360" windowHeight="7905"/>
  </bookViews>
  <sheets>
    <sheet name="SCHEDULE" sheetId="1" r:id="rId1"/>
    <sheet name="WeekendTracker" sheetId="2" r:id="rId2"/>
    <sheet name="Special Program Schedules" sheetId="3" r:id="rId3"/>
    <sheet name="Calculator" sheetId="4" r:id="rId4"/>
  </sheets>
  <definedNames>
    <definedName name="_xlnm._FilterDatabase" localSheetId="0" hidden="1">SCHEDULE!$A$3:$BC$61</definedName>
    <definedName name="_xlnm._FilterDatabase" localSheetId="1" hidden="1">WeekendTracker!$A$1:$DK$1019</definedName>
    <definedName name="EndDate">SCHEDULE!$BA$1</definedName>
    <definedName name="StartDate">SCHEDULE!$E$1</definedName>
    <definedName name="Z_057A95AE_8387_4DA4_A25E_A6124B302071_.wvu.FilterData" localSheetId="0" hidden="1">SCHEDULE!$A$3:$BO$58</definedName>
    <definedName name="Z_0CF6EC46_D20B_491A_B6EE_92AE83B49CBD_.wvu.FilterData" localSheetId="0" hidden="1">SCHEDULE!$A$3:$BC$61</definedName>
    <definedName name="Z_0F3AF1BA_63A8_4070_AD04_7CF3FB7A7890_.wvu.Cols" localSheetId="3" hidden="1">Calculator!$O:$O</definedName>
    <definedName name="Z_0F3AF1BA_63A8_4070_AD04_7CF3FB7A7890_.wvu.Cols" localSheetId="2" hidden="1">'Special Program Schedules'!$B:$G,'Special Program Schedules'!$J:$L,'Special Program Schedules'!$N:$O,'Special Program Schedules'!$Q:$R,'Special Program Schedules'!$T:$U,'Special Program Schedules'!$W:$X,'Special Program Schedules'!$Z:$AA,'Special Program Schedules'!$AC:$AD,'Special Program Schedules'!$AF:$AH,'Special Program Schedules'!$AJ:$AK,'Special Program Schedules'!$AM:$AN,'Special Program Schedules'!$AP:$AQ,'Special Program Schedules'!$AS:$AT,'Special Program Schedules'!$AV:$AW,'Special Program Schedules'!$AY:$AZ,'Special Program Schedules'!$BB:$BD</definedName>
    <definedName name="Z_0F3AF1BA_63A8_4070_AD04_7CF3FB7A7890_.wvu.Cols" localSheetId="1" hidden="1">WeekendTracker!$G:$CA</definedName>
    <definedName name="Z_0F3AF1BA_63A8_4070_AD04_7CF3FB7A7890_.wvu.FilterData" localSheetId="0" hidden="1">SCHEDULE!$A$3:$BC$61</definedName>
    <definedName name="Z_0F3AF1BA_63A8_4070_AD04_7CF3FB7A7890_.wvu.FilterData" localSheetId="1" hidden="1">WeekendTracker!$A$1:$DK$82</definedName>
    <definedName name="Z_1A5ACB91_AA70_4F98_ABE6_F4001256B5E6_.wvu.FilterData" localSheetId="0" hidden="1">SCHEDULE!$A$3:$BC$61</definedName>
    <definedName name="Z_1CAD5D43_B7A9_40BC_B43B_460D80D3258A_.wvu.FilterData" localSheetId="0" hidden="1">SCHEDULE!$A$3:$BO$58</definedName>
    <definedName name="Z_1F8D3957_C9A6_4523_A997_0A5E9AE48D3E_.wvu.FilterData" localSheetId="0" hidden="1">SCHEDULE!$A$3:$BC$61</definedName>
    <definedName name="Z_208A5925_1FA9_41B4_AB84_DB668CD24F85_.wvu.Cols" localSheetId="3" hidden="1">Calculator!$O:$O</definedName>
    <definedName name="Z_208A5925_1FA9_41B4_AB84_DB668CD24F85_.wvu.Cols" localSheetId="0" hidden="1">SCHEDULE!$B:$B</definedName>
    <definedName name="Z_208A5925_1FA9_41B4_AB84_DB668CD24F85_.wvu.Cols" localSheetId="2" hidden="1">'Special Program Schedules'!$J:$L,'Special Program Schedules'!$N:$O,'Special Program Schedules'!$Q:$R,'Special Program Schedules'!$T:$U,'Special Program Schedules'!$W:$X,'Special Program Schedules'!$Z:$AA,'Special Program Schedules'!$AC:$AD,'Special Program Schedules'!$AF:$AH,'Special Program Schedules'!$AJ:$AK,'Special Program Schedules'!$AM:$AN,'Special Program Schedules'!$AP:$AQ,'Special Program Schedules'!$AS:$AT,'Special Program Schedules'!$AV:$AW,'Special Program Schedules'!$AY:$AZ,'Special Program Schedules'!$BB:$BD</definedName>
    <definedName name="Z_208A5925_1FA9_41B4_AB84_DB668CD24F85_.wvu.Cols" localSheetId="1" hidden="1">WeekendTracker!$G:$CM</definedName>
    <definedName name="Z_208A5925_1FA9_41B4_AB84_DB668CD24F85_.wvu.FilterData" localSheetId="0" hidden="1">SCHEDULE!$A$3:$BC$61</definedName>
    <definedName name="Z_208A5925_1FA9_41B4_AB84_DB668CD24F85_.wvu.FilterData" localSheetId="1" hidden="1">WeekendTracker!$A$1:$DK$1019</definedName>
    <definedName name="Z_208A5925_1FA9_41B4_AB84_DB668CD24F85_.wvu.Rows" localSheetId="2" hidden="1">'Special Program Schedules'!$20:$21,'Special Program Schedules'!$24:$25</definedName>
    <definedName name="Z_221769D0_15FD_4EE1_937E_D0978667EB28_.wvu.FilterData" localSheetId="0" hidden="1">SCHEDULE!$A$3:$BO$58</definedName>
    <definedName name="Z_307CC01B_ED49_401B_8364_093EDA4EF533_.wvu.Cols" localSheetId="3" hidden="1">Calculator!$O:$O</definedName>
    <definedName name="Z_307CC01B_ED49_401B_8364_093EDA4EF533_.wvu.FilterData" localSheetId="0" hidden="1">SCHEDULE!$A$3:$BC$61</definedName>
    <definedName name="Z_311CB9E5_B2EA_47B2_9FFE_726A90B15112_.wvu.FilterData" localSheetId="0" hidden="1">SCHEDULE!$A$3:$BO$58</definedName>
    <definedName name="Z_405C087B_EC8A_4898_93A3_63B7AB7AB2CB_.wvu.FilterData" localSheetId="0" hidden="1">SCHEDULE!$A$3:$BC$61</definedName>
    <definedName name="Z_451E74A1_5C57_43D1_A046_4C8A9B984727_.wvu.FilterData" localSheetId="0" hidden="1">SCHEDULE!$A$3:$BO$58</definedName>
    <definedName name="Z_4DE7CC8C_3D92_4561_A66B_105FE0074BAA_.wvu.FilterData" localSheetId="0" hidden="1">SCHEDULE!$A$3:$BO$58</definedName>
    <definedName name="Z_510EAB28_63CB_43E2_9432_C75C3110CE1E_.wvu.Cols" localSheetId="3" hidden="1">Calculator!$O:$O</definedName>
    <definedName name="Z_510EAB28_63CB_43E2_9432_C75C3110CE1E_.wvu.Cols" localSheetId="2" hidden="1">'Special Program Schedules'!$J:$L,'Special Program Schedules'!$N:$O,'Special Program Schedules'!$Q:$R,'Special Program Schedules'!$T:$U,'Special Program Schedules'!$W:$X,'Special Program Schedules'!$Z:$AA,'Special Program Schedules'!$AC:$AD,'Special Program Schedules'!$AF:$AH,'Special Program Schedules'!$AJ:$AK,'Special Program Schedules'!$AM:$AN,'Special Program Schedules'!$AP:$AQ,'Special Program Schedules'!$AS:$AT,'Special Program Schedules'!$AV:$AW,'Special Program Schedules'!$AY:$AZ,'Special Program Schedules'!$BB:$BD</definedName>
    <definedName name="Z_510EAB28_63CB_43E2_9432_C75C3110CE1E_.wvu.FilterData" localSheetId="0" hidden="1">SCHEDULE!$A$3:$BC$61</definedName>
    <definedName name="Z_510EAB28_63CB_43E2_9432_C75C3110CE1E_.wvu.FilterData" localSheetId="1" hidden="1">WeekendTracker!$A$1:$X$1019</definedName>
    <definedName name="Z_53237206_FA20_4C4F_84B2_1F9579EAB65B_.wvu.FilterData" localSheetId="0" hidden="1">SCHEDULE!$A$3:$BO$58</definedName>
    <definedName name="Z_5B95AF4D_2757_4825_878E_0292E5389D77_.wvu.FilterData" localSheetId="0" hidden="1">SCHEDULE!$A$3:$BO$58</definedName>
    <definedName name="Z_5BA1A946_6FBC_4642_B499_71CE854965FF_.wvu.FilterData" localSheetId="0" hidden="1">SCHEDULE!$A$3:$BO$58</definedName>
    <definedName name="Z_6028CF8F_9218_4B58_B33E_F17A648A0FE7_.wvu.FilterData" localSheetId="0" hidden="1">SCHEDULE!$A$3:$BC$61</definedName>
    <definedName name="Z_610BE8E3_4D84_463D_8990_B7A6E917E38E_.wvu.FilterData" localSheetId="0" hidden="1">SCHEDULE!$A$3:$BC$61</definedName>
    <definedName name="Z_6147DC13_1E22_42F5_BF21_A42736D2A0AC_.wvu.FilterData" localSheetId="0" hidden="1">SCHEDULE!$A$3:$BC$61</definedName>
    <definedName name="Z_61D841E6_6387_4756_87CC_C5CA5B067428_.wvu.FilterData" localSheetId="0" hidden="1">SCHEDULE!$A$3:$CD$61</definedName>
    <definedName name="Z_62FBBC4D_209C_4976_AC81_0E62C0EC40AC_.wvu.FilterData" localSheetId="0" hidden="1">SCHEDULE!$A$3:$BO$58</definedName>
    <definedName name="Z_633586D4_0157_4906_81B3_3B97799576BB_.wvu.Cols" localSheetId="3" hidden="1">Calculator!$O:$O</definedName>
    <definedName name="Z_633586D4_0157_4906_81B3_3B97799576BB_.wvu.Cols" localSheetId="2" hidden="1">'Special Program Schedules'!$J:$L,'Special Program Schedules'!$N:$O,'Special Program Schedules'!$Q:$R,'Special Program Schedules'!$T:$U,'Special Program Schedules'!$W:$X,'Special Program Schedules'!$Z:$AA,'Special Program Schedules'!$AC:$AD,'Special Program Schedules'!$AF:$AH,'Special Program Schedules'!$AJ:$AK,'Special Program Schedules'!$AM:$AN,'Special Program Schedules'!$AP:$AQ,'Special Program Schedules'!$AS:$AT,'Special Program Schedules'!$AV:$AW,'Special Program Schedules'!$AY:$AZ,'Special Program Schedules'!$BB:$BD</definedName>
    <definedName name="Z_633586D4_0157_4906_81B3_3B97799576BB_.wvu.FilterData" localSheetId="0" hidden="1">SCHEDULE!$A$3:$BC$61</definedName>
    <definedName name="Z_633586D4_0157_4906_81B3_3B97799576BB_.wvu.FilterData" localSheetId="1" hidden="1">WeekendTracker!$A$1:$X$1019</definedName>
    <definedName name="Z_633586D4_0157_4906_81B3_3B97799576BB_.wvu.Rows" localSheetId="0" hidden="1">SCHEDULE!$64:$64</definedName>
    <definedName name="Z_655C266F_B06D_4F08_B6E7_FAA4004CC24D_.wvu.Cols" localSheetId="3" hidden="1">Calculator!$O:$O</definedName>
    <definedName name="Z_655C266F_B06D_4F08_B6E7_FAA4004CC24D_.wvu.Cols" localSheetId="2" hidden="1">'Special Program Schedules'!$B:$G,'Special Program Schedules'!$J:$L,'Special Program Schedules'!$N:$O,'Special Program Schedules'!$Q:$R,'Special Program Schedules'!$T:$U,'Special Program Schedules'!$W:$X,'Special Program Schedules'!$Z:$AA,'Special Program Schedules'!$AC:$AD,'Special Program Schedules'!$AF:$AH,'Special Program Schedules'!$AJ:$AK,'Special Program Schedules'!$AM:$AN,'Special Program Schedules'!$AP:$AQ,'Special Program Schedules'!$AS:$AT,'Special Program Schedules'!$AV:$AW,'Special Program Schedules'!$AY:$AZ,'Special Program Schedules'!$BB:$BD</definedName>
    <definedName name="Z_655C266F_B06D_4F08_B6E7_FAA4004CC24D_.wvu.Cols" localSheetId="1" hidden="1">WeekendTracker!$G:$BA</definedName>
    <definedName name="Z_655C266F_B06D_4F08_B6E7_FAA4004CC24D_.wvu.FilterData" localSheetId="0" hidden="1">SCHEDULE!$A$3:$BC$61</definedName>
    <definedName name="Z_655C266F_B06D_4F08_B6E7_FAA4004CC24D_.wvu.FilterData" localSheetId="1" hidden="1">WeekendTracker!$A$1:$BZ$82</definedName>
    <definedName name="Z_7979C458_8DF0_4158_86D7_D86915696186_.wvu.FilterData" localSheetId="0" hidden="1">SCHEDULE!$A$3:$BC$61</definedName>
    <definedName name="Z_7979C458_8DF0_4158_86D7_D86915696186_.wvu.FilterData" localSheetId="1" hidden="1">WeekendTracker!$A$1:$CK$79</definedName>
    <definedName name="Z_7A71CC24_6DB6_48E6_8FAE_E05106679B2C_.wvu.FilterData" localSheetId="0" hidden="1">SCHEDULE!$A$3:$CD$61</definedName>
    <definedName name="Z_7D95E48E_DE78_444D_99D9_AE9172BE7C77_.wvu.FilterData" localSheetId="0" hidden="1">SCHEDULE!$A$3:$BO$58</definedName>
    <definedName name="Z_8921F19F_8084_418F_B43B_4D1FA792A43F_.wvu.FilterData" localSheetId="0" hidden="1">SCHEDULE!$A$3:$BO$58</definedName>
    <definedName name="Z_898E7D6F_2A0D_487E_BF4E_9972D9F9683F_.wvu.FilterData" localSheetId="1" hidden="1">WeekendTracker!$A$1:$CK$79</definedName>
    <definedName name="Z_8E2A1231_23B8_471D_820C_0A0A3CBBB3DD_.wvu.FilterData" localSheetId="0" hidden="1">SCHEDULE!$A$3:$BC$61</definedName>
    <definedName name="Z_92CFD1A2_5817_490F_AB66_FC0F744CEF9A_.wvu.FilterData" localSheetId="0" hidden="1">SCHEDULE!$A$3:$BO$58</definedName>
    <definedName name="Z_9B6DF648_201B_4242_8C67_AB73F24399CE_.wvu.FilterData" localSheetId="1" hidden="1">WeekendTracker!$A$1:$X$1019</definedName>
    <definedName name="Z_9D49D1C7_FF71_4D41_A7EA_27A887C38D6C_.wvu.FilterData" localSheetId="0" hidden="1">SCHEDULE!$A$3:$BC$61</definedName>
    <definedName name="Z_9F6D84A8_DCEA_4558_B97F_E2764E0E3D45_.wvu.FilterData" localSheetId="0" hidden="1">SCHEDULE!$A$3:$CD$61</definedName>
    <definedName name="Z_A9216DD6_23B1_4C89_BC14_2360378DB7F3_.wvu.FilterData" localSheetId="0" hidden="1">SCHEDULE!$A$3:$BO$58</definedName>
    <definedName name="Z_AAB782FC_7CDD_4C09_B320_0B36CC77FB5C_.wvu.FilterData" localSheetId="0" hidden="1">SCHEDULE!$A$3:$BC$61</definedName>
    <definedName name="Z_B03D3321_8578_44D0_9847_93996289F773_.wvu.Cols" localSheetId="3" hidden="1">Calculator!$O:$O</definedName>
    <definedName name="Z_B03D3321_8578_44D0_9847_93996289F773_.wvu.Cols" localSheetId="0" hidden="1">SCHEDULE!$B:$B</definedName>
    <definedName name="Z_B03D3321_8578_44D0_9847_93996289F773_.wvu.Cols" localSheetId="2" hidden="1">'Special Program Schedules'!$J:$L,'Special Program Schedules'!$N:$O,'Special Program Schedules'!$Q:$R,'Special Program Schedules'!$T:$U,'Special Program Schedules'!$W:$X,'Special Program Schedules'!$Z:$AA,'Special Program Schedules'!$AC:$AD,'Special Program Schedules'!$AF:$AH,'Special Program Schedules'!$AJ:$AK,'Special Program Schedules'!$AM:$AN,'Special Program Schedules'!$AP:$AQ,'Special Program Schedules'!$AS:$AT,'Special Program Schedules'!$AV:$AW,'Special Program Schedules'!$AY:$AZ,'Special Program Schedules'!$BB:$BD</definedName>
    <definedName name="Z_B03D3321_8578_44D0_9847_93996289F773_.wvu.FilterData" localSheetId="0" hidden="1">SCHEDULE!$A$3:$BC$61</definedName>
    <definedName name="Z_B03D3321_8578_44D0_9847_93996289F773_.wvu.FilterData" localSheetId="1" hidden="1">WeekendTracker!$A$1:$Y$1</definedName>
    <definedName name="Z_B187B2F9_C8BA_45E1_BB7B_542876D81B65_.wvu.FilterData" localSheetId="0" hidden="1">SCHEDULE!$A$3:$BC$61</definedName>
    <definedName name="Z_B6DEE9E1_EBE4_417F_ACD8_35C7301B4E44_.wvu.FilterData" localSheetId="0" hidden="1">SCHEDULE!$A$3:$BC$61</definedName>
    <definedName name="Z_BADB5B7E_09D1_47CE_AB17_724668902B4C_.wvu.FilterData" localSheetId="1" hidden="1">WeekendTracker!$A$1:$CK$79</definedName>
    <definedName name="Z_BD40F652_0BD1_49AB_8864_915916104548_.wvu.Cols" localSheetId="3" hidden="1">Calculator!$O:$O</definedName>
    <definedName name="Z_BD40F652_0BD1_49AB_8864_915916104548_.wvu.Cols" localSheetId="2" hidden="1">'Special Program Schedules'!$B:$G,'Special Program Schedules'!$J:$L,'Special Program Schedules'!$N:$O,'Special Program Schedules'!$Q:$R,'Special Program Schedules'!$T:$U,'Special Program Schedules'!$W:$X,'Special Program Schedules'!$Z:$AA,'Special Program Schedules'!$AC:$AD,'Special Program Schedules'!$AF:$AH,'Special Program Schedules'!$AJ:$AK,'Special Program Schedules'!$AM:$AN,'Special Program Schedules'!$AP:$AQ,'Special Program Schedules'!$AS:$AT,'Special Program Schedules'!$AV:$AW,'Special Program Schedules'!$AY:$AZ,'Special Program Schedules'!$BB:$BD</definedName>
    <definedName name="Z_BD40F652_0BD1_49AB_8864_915916104548_.wvu.Cols" localSheetId="1" hidden="1">WeekendTracker!$G:$AM</definedName>
    <definedName name="Z_BD40F652_0BD1_49AB_8864_915916104548_.wvu.FilterData" localSheetId="0" hidden="1">SCHEDULE!$A$3:$BC$61</definedName>
    <definedName name="Z_BD40F652_0BD1_49AB_8864_915916104548_.wvu.FilterData" localSheetId="1" hidden="1">WeekendTracker!$A$1:$BC$74</definedName>
    <definedName name="Z_C51F0060_3EBC_417D_8990_7D6AF513ABB1_.wvu.FilterData" localSheetId="0" hidden="1">SCHEDULE!$A$3:$BC$61</definedName>
    <definedName name="Z_C636CC8D_03E8_4F51_87BE_36B0E4BC9775_.wvu.FilterData" localSheetId="0" hidden="1">SCHEDULE!$A$3:$CD$76</definedName>
    <definedName name="Z_C69BC549_67F2_488E_A54D_E67B4F3AAEA1_.wvu.FilterData" localSheetId="0" hidden="1">SCHEDULE!$A$3:$BO$58</definedName>
    <definedName name="Z_CC41BAC2_645C_4EEC_B031_0394151915FB_.wvu.FilterData" localSheetId="0" hidden="1">SCHEDULE!$A$3:$BO$58</definedName>
    <definedName name="Z_CCC12E9F_DF88_458F_8D6A_FE25E712DF1A_.wvu.FilterData" localSheetId="0" hidden="1">SCHEDULE!$A$3:$BC$61</definedName>
    <definedName name="Z_CD25A284_0610_4E49_A3AF_D88A397CDAA5_.wvu.Cols" localSheetId="3" hidden="1">Calculator!$O:$O</definedName>
    <definedName name="Z_CD25A284_0610_4E49_A3AF_D88A397CDAA5_.wvu.FilterData" localSheetId="0" hidden="1">SCHEDULE!$A$3:$CD$76</definedName>
    <definedName name="Z_CD624594_EE63_45B6_8011_5E137A94ED35_.wvu.FilterData" localSheetId="0" hidden="1">SCHEDULE!$A$3:$BO$58</definedName>
    <definedName name="Z_D03D806B_223B_46D9_A175_767F4DEA78DA_.wvu.FilterData" localSheetId="0" hidden="1">SCHEDULE!$A$3:$BC$61</definedName>
    <definedName name="Z_D24A41C7_2A51_46DE_B354_46238F57778A_.wvu.FilterData" localSheetId="0" hidden="1">SCHEDULE!$A$3:$BC$61</definedName>
    <definedName name="Z_D327DF7F_CC94_482C_ABE8_83F739BA1A0F_.wvu.FilterData" localSheetId="0" hidden="1">SCHEDULE!$A$3:$BO$58</definedName>
    <definedName name="Z_D3464C46_8F82_4300_AD46_2CFCEE57381C_.wvu.FilterData" localSheetId="0" hidden="1">SCHEDULE!$A$3:$BC$61</definedName>
    <definedName name="Z_D3496215_9CCD_43FC_B1EC_7F57F174B6FA_.wvu.FilterData" localSheetId="0" hidden="1">SCHEDULE!$A$3:$BC$61</definedName>
    <definedName name="Z_DAFEFE2D_3BFC_4034_9405_D24D07A1387C_.wvu.FilterData" localSheetId="0" hidden="1">SCHEDULE!$A$3:$BC$61</definedName>
    <definedName name="Z_DAFEFE2D_3BFC_4034_9405_D24D07A1387C_.wvu.FilterData" localSheetId="1" hidden="1">WeekendTracker!$A$1:$DK$1019</definedName>
    <definedName name="Z_DE0A7DC2_4ED1_429C_8DA2_3BCA2217E855_.wvu.FilterData" localSheetId="0" hidden="1">SCHEDULE!$A$3:$BC$61</definedName>
    <definedName name="Z_E00E8053_115A_4B1C_A7C6_62801DAA6DE7_.wvu.FilterData" localSheetId="0" hidden="1">SCHEDULE!$A$3:$BO$58</definedName>
    <definedName name="Z_E43338D1_7CCB_4645_96EE_F97052475ACF_.wvu.FilterData" localSheetId="0" hidden="1">SCHEDULE!$A$3:$CD$61</definedName>
    <definedName name="Z_ED06E29C_ECD2_4C0A_8299_9A67C79DC69C_.wvu.FilterData" localSheetId="1" hidden="1">WeekendTracker!$A$1:$CK$79</definedName>
    <definedName name="Z_EE8ECCB6_319F_4EBB_9595_01E7B26A1296_.wvu.FilterData" localSheetId="0" hidden="1">SCHEDULE!$A$3:$BO$58</definedName>
    <definedName name="Z_F21E6C2A_F322_4A07_A612_36BFDF50C7CF_.wvu.FilterData" localSheetId="0" hidden="1">SCHEDULE!$A$3:$CD$76</definedName>
    <definedName name="Z_F6731307_C738_4B81_929D_C14136A8C5CD_.wvu.Cols" localSheetId="3" hidden="1">Calculator!$O:$O</definedName>
    <definedName name="Z_F6731307_C738_4B81_929D_C14136A8C5CD_.wvu.Cols" localSheetId="2" hidden="1">'Special Program Schedules'!$J:$L,'Special Program Schedules'!$N:$O,'Special Program Schedules'!$Q:$R,'Special Program Schedules'!$T:$U,'Special Program Schedules'!$W:$X,'Special Program Schedules'!$Z:$AA,'Special Program Schedules'!$AC:$AD,'Special Program Schedules'!$AF:$AH,'Special Program Schedules'!$AJ:$AK,'Special Program Schedules'!$AM:$AN,'Special Program Schedules'!$AP:$AQ,'Special Program Schedules'!$AS:$AT,'Special Program Schedules'!$AV:$AW,'Special Program Schedules'!$AY:$AZ,'Special Program Schedules'!$BB:$BD</definedName>
    <definedName name="Z_F6731307_C738_4B81_929D_C14136A8C5CD_.wvu.FilterData" localSheetId="0" hidden="1">SCHEDULE!$A$3:$BC$61</definedName>
    <definedName name="Z_F6731307_C738_4B81_929D_C14136A8C5CD_.wvu.FilterData" localSheetId="1" hidden="1">WeekendTracker!$A$1:$X$1019</definedName>
    <definedName name="Z_F6731307_C738_4B81_929D_C14136A8C5CD_.wvu.Rows" localSheetId="0" hidden="1">SCHEDULE!$64:$64</definedName>
  </definedNames>
  <calcPr calcId="152511"/>
  <customWorkbookViews>
    <customWorkbookView name="Aaron Bower - Personal View" guid="{F6731307-C738-4B81-929D-C14136A8C5CD}" mergeInterval="0" personalView="1" maximized="1" xWindow="1912" yWindow="-8" windowWidth="1936" windowHeight="1216" activeSheetId="1"/>
    <customWorkbookView name="Amberlee Sorensen - Personal View" guid="{0F3AF1BA-63A8-4070-AD04-7CF3FB7A7890}" mergeInterval="0" personalView="1" xWindow="150" yWindow="33" windowWidth="1599" windowHeight="1101" activeSheetId="1"/>
    <customWorkbookView name="Stephen Stroup - Personal View" guid="{208A5925-1FA9-41B4-AB84-DB668CD24F85}" mergeInterval="0" personalView="1" maximized="1" xWindow="-8" yWindow="-8" windowWidth="1936" windowHeight="1176" activeSheetId="1"/>
    <customWorkbookView name="John Lemmons - Personal View" guid="{633586D4-0157-4906-81B3-3B97799576BB}" mergeInterval="0" personalView="1" xWindow="152" yWindow="37" windowWidth="1310" windowHeight="1018" activeSheetId="1"/>
    <customWorkbookView name="Matthew Copus - Personal View" guid="{B03D3321-8578-44D0-9847-93996289F773}" mergeInterval="0" personalView="1" xWindow="107" yWindow="50" windowWidth="1813" windowHeight="983" activeSheetId="2"/>
    <customWorkbookView name="Robert Martin - Personal View" guid="{CD25A284-0610-4E49-A3AF-D88A397CDAA5}" mergeInterval="0" personalView="1" maximized="1" windowWidth="1363" windowHeight="959" activeSheetId="1"/>
    <customWorkbookView name="Xactware inc. - Personal View" guid="{7D95E48E-DE78-444D-99D9-AE9172BE7C77}" mergeInterval="0" personalView="1" maximized="1" windowWidth="1276" windowHeight="852" activeSheetId="1"/>
    <customWorkbookView name="Mark Schnegelberger - Personal View" guid="{A9216DD6-23B1-4C89-BC14-2360378DB7F3}" mergeInterval="0" personalView="1" xWindow="4" yWindow="25" windowWidth="1634" windowHeight="765" activeSheetId="1"/>
    <customWorkbookView name="Chris Petersen - Personal View" guid="{1CAD5D43-B7A9-40BC-B43B-460D80D3258A}" mergeInterval="0" personalView="1" maximized="1" windowWidth="1676" windowHeight="878" activeSheetId="1"/>
    <customWorkbookView name="Matt T. - Personal View" guid="{CD624594-EE63-45B6-8011-5E137A94ED35}" mergeInterval="0" personalView="1" maximized="1" windowWidth="1908" windowHeight="992" activeSheetId="1"/>
    <customWorkbookView name="Dane Oborn - Personal View" guid="{5BA1A946-6FBC-4642-B499-71CE854965FF}" mergeInterval="0" personalView="1" maximized="1" xWindow="1" yWindow="1" windowWidth="1218" windowHeight="968" activeSheetId="1"/>
    <customWorkbookView name="Rob Martin - Personal View" guid="{307CC01B-ED49-401B-8364-093EDA4EF533}" mergeInterval="0" personalView="1" maximized="1" windowWidth="962" windowHeight="919" activeSheetId="1"/>
    <customWorkbookView name="Brian Goodrich - Personal View" guid="{BD40F652-0BD1-49AB-8864-915916104548}" mergeInterval="0" personalView="1" maximized="1" xWindow="1912" yWindow="-8" windowWidth="1798" windowHeight="1216" activeSheetId="2"/>
    <customWorkbookView name="Sharla Tucker - Personal View" guid="{655C266F-B06D-4F08-B6E7-FAA4004CC24D}" mergeInterval="0" personalView="1" maximized="1" xWindow="1912" yWindow="-8" windowWidth="1936" windowHeight="1216" activeSheetId="1"/>
    <customWorkbookView name="Tom Montague - Personal View" guid="{510EAB28-63CB-43E2-9432-C75C3110CE1E}" mergeInterval="0" personalView="1" maximized="1" windowWidth="1612" windowHeight="903" activeSheetId="1"/>
  </customWorkbookViews>
</workbook>
</file>

<file path=xl/calcChain.xml><?xml version="1.0" encoding="utf-8"?>
<calcChain xmlns="http://schemas.openxmlformats.org/spreadsheetml/2006/main">
  <c r="E82" i="2" l="1" a="1"/>
  <c r="E82" i="2" s="1"/>
  <c r="F82" i="2" s="1"/>
  <c r="BC73" i="1" l="1"/>
  <c r="BC72" i="1" s="1"/>
  <c r="AY73" i="1"/>
  <c r="AY72" i="1" s="1"/>
  <c r="AG73" i="1"/>
  <c r="AG72" i="1" s="1"/>
  <c r="AC73" i="1"/>
  <c r="AC72" i="1" s="1"/>
  <c r="K72" i="1"/>
  <c r="K71" i="1" s="1"/>
  <c r="G72" i="1"/>
  <c r="G71" i="1" s="1"/>
  <c r="J17" i="3" l="1"/>
  <c r="K17" i="3"/>
  <c r="L17" i="3"/>
  <c r="M17" i="3"/>
  <c r="N17" i="3"/>
  <c r="O17" i="3"/>
  <c r="P17" i="3"/>
  <c r="Q17" i="3"/>
  <c r="R17" i="3"/>
  <c r="S17" i="3"/>
  <c r="T17" i="3"/>
  <c r="U17" i="3"/>
  <c r="V17" i="3"/>
  <c r="W17" i="3"/>
  <c r="X17" i="3"/>
  <c r="Y17" i="3"/>
  <c r="Z17" i="3"/>
  <c r="AA17" i="3"/>
  <c r="AB17" i="3"/>
  <c r="AC17" i="3"/>
  <c r="AD17" i="3"/>
  <c r="AE17" i="3"/>
  <c r="AF17" i="3"/>
  <c r="AG17" i="3"/>
  <c r="AH17" i="3"/>
  <c r="AI17" i="3"/>
  <c r="AJ17" i="3"/>
  <c r="AK17" i="3"/>
  <c r="AL17" i="3"/>
  <c r="AM17" i="3"/>
  <c r="AN17" i="3"/>
  <c r="AO17" i="3"/>
  <c r="AP17" i="3"/>
  <c r="AQ17" i="3"/>
  <c r="AR17" i="3"/>
  <c r="AS17" i="3"/>
  <c r="AT17" i="3"/>
  <c r="AU17" i="3"/>
  <c r="AV17" i="3"/>
  <c r="AW17" i="3"/>
  <c r="AX17" i="3"/>
  <c r="AY17" i="3"/>
  <c r="AZ17" i="3"/>
  <c r="BA17" i="3"/>
  <c r="BB17" i="3"/>
  <c r="BC17" i="3"/>
  <c r="BD17" i="3"/>
  <c r="BE17" i="3"/>
  <c r="J16" i="3"/>
  <c r="K16" i="3"/>
  <c r="L16" i="3"/>
  <c r="M16" i="3"/>
  <c r="N16" i="3"/>
  <c r="O16" i="3"/>
  <c r="Q16" i="3"/>
  <c r="R16" i="3"/>
  <c r="T16" i="3"/>
  <c r="U16" i="3"/>
  <c r="W16" i="3"/>
  <c r="X16" i="3"/>
  <c r="Z16" i="3"/>
  <c r="AA16" i="3"/>
  <c r="AC16" i="3"/>
  <c r="AD16" i="3"/>
  <c r="AF16" i="3"/>
  <c r="AG16" i="3"/>
  <c r="AH16" i="3"/>
  <c r="AJ16" i="3"/>
  <c r="AK16" i="3"/>
  <c r="AM16" i="3"/>
  <c r="AN16" i="3"/>
  <c r="AP16" i="3"/>
  <c r="AQ16" i="3"/>
  <c r="AS16" i="3"/>
  <c r="AT16" i="3"/>
  <c r="AV16" i="3"/>
  <c r="AW16" i="3"/>
  <c r="AY16" i="3"/>
  <c r="AZ16" i="3"/>
  <c r="BB16" i="3"/>
  <c r="BC16" i="3"/>
  <c r="BD16" i="3"/>
  <c r="I17" i="3"/>
  <c r="F22" i="2" l="1"/>
  <c r="F32" i="2"/>
  <c r="F40" i="2"/>
  <c r="F58" i="2"/>
  <c r="F63" i="2"/>
  <c r="E45" i="2" a="1"/>
  <c r="E45" i="2" s="1"/>
  <c r="F45" i="2" s="1"/>
  <c r="E46" i="2" a="1"/>
  <c r="E46" i="2" s="1"/>
  <c r="F46" i="2" s="1"/>
  <c r="E51" i="2" a="1"/>
  <c r="E51" i="2" s="1"/>
  <c r="F51" i="2" s="1"/>
  <c r="E54" i="2" a="1"/>
  <c r="E54" i="2" s="1"/>
  <c r="F54" i="2" s="1"/>
  <c r="E55" i="2" a="1"/>
  <c r="E55" i="2" s="1"/>
  <c r="F55" i="2" s="1"/>
  <c r="E58" i="2" a="1"/>
  <c r="E58" i="2" s="1"/>
  <c r="E63" i="2" a="1"/>
  <c r="E63" i="2" s="1"/>
  <c r="E75" i="2" a="1"/>
  <c r="E75" i="2" s="1"/>
  <c r="F75" i="2" s="1"/>
  <c r="AJ67" i="1" l="1"/>
  <c r="AV70" i="1"/>
  <c r="AS70" i="1"/>
  <c r="AP70" i="1"/>
  <c r="AM70" i="1"/>
  <c r="AJ70" i="1"/>
  <c r="AV69" i="1"/>
  <c r="AS69" i="1"/>
  <c r="AP69" i="1"/>
  <c r="AM69" i="1"/>
  <c r="AJ69" i="1"/>
  <c r="AV68" i="1"/>
  <c r="AS68" i="1"/>
  <c r="AP68" i="1"/>
  <c r="AM68" i="1"/>
  <c r="AJ68" i="1"/>
  <c r="AV67" i="1"/>
  <c r="AS67" i="1"/>
  <c r="AP67" i="1"/>
  <c r="AM67" i="1"/>
  <c r="Z71" i="1" l="1"/>
  <c r="W71" i="1"/>
  <c r="T71" i="1"/>
  <c r="Q71" i="1"/>
  <c r="N71" i="1"/>
  <c r="N70" i="1"/>
  <c r="Z70" i="1"/>
  <c r="W70" i="1"/>
  <c r="T70" i="1"/>
  <c r="Q70" i="1"/>
  <c r="Z69" i="1"/>
  <c r="W69" i="1"/>
  <c r="T69" i="1"/>
  <c r="Q69" i="1"/>
  <c r="N69" i="1"/>
  <c r="N68" i="1"/>
  <c r="Z67" i="1"/>
  <c r="W67" i="1"/>
  <c r="T67" i="1"/>
  <c r="Q67" i="1"/>
  <c r="N67" i="1"/>
  <c r="Z68" i="1"/>
  <c r="W68" i="1"/>
  <c r="T68" i="1"/>
  <c r="Q68" i="1"/>
  <c r="K70" i="1" l="1"/>
  <c r="G70" i="1"/>
  <c r="BC70" i="1"/>
  <c r="AY70" i="1"/>
  <c r="AG70" i="1"/>
  <c r="AC70" i="1"/>
  <c r="H1" i="2" l="1"/>
  <c r="I1" i="2" l="1"/>
  <c r="J1" i="2" s="1"/>
  <c r="K1" i="2" s="1"/>
  <c r="L1" i="2" s="1"/>
  <c r="M1" i="2" s="1"/>
  <c r="N1" i="2" s="1"/>
  <c r="O1" i="2" s="1"/>
  <c r="P1" i="2" s="1"/>
  <c r="Q1" i="2" s="1"/>
  <c r="R1" i="2" s="1"/>
  <c r="S1" i="2" s="1"/>
  <c r="T1" i="2" s="1"/>
  <c r="U1" i="2" s="1"/>
  <c r="V1" i="2" s="1"/>
  <c r="W1" i="2" s="1"/>
  <c r="X1" i="2" l="1"/>
  <c r="BE2" i="3"/>
  <c r="BA2" i="3"/>
  <c r="AX2" i="3"/>
  <c r="AU2" i="3"/>
  <c r="AR2" i="3"/>
  <c r="AO2" i="3"/>
  <c r="AL2" i="3"/>
  <c r="AI2" i="3"/>
  <c r="AE2" i="3"/>
  <c r="AB2" i="3"/>
  <c r="Y2" i="3"/>
  <c r="V2" i="3"/>
  <c r="S2" i="3"/>
  <c r="P2" i="3"/>
  <c r="M2" i="3"/>
  <c r="I2" i="3"/>
  <c r="M1" i="3"/>
  <c r="Y1" i="2" l="1"/>
  <c r="BC71" i="1"/>
  <c r="AY71" i="1"/>
  <c r="AG71" i="1"/>
  <c r="AC71" i="1"/>
  <c r="Z1" i="2" l="1"/>
  <c r="AV75" i="1"/>
  <c r="AS75" i="1"/>
  <c r="AP75" i="1"/>
  <c r="AM75" i="1"/>
  <c r="AJ75" i="1"/>
  <c r="Z75" i="1"/>
  <c r="W75" i="1"/>
  <c r="T75" i="1"/>
  <c r="Q75" i="1"/>
  <c r="N75" i="1"/>
  <c r="AA1" i="2" l="1"/>
  <c r="AV71" i="1"/>
  <c r="AV74" i="1"/>
  <c r="AS74" i="1"/>
  <c r="AP74" i="1"/>
  <c r="AM74" i="1"/>
  <c r="AJ74" i="1"/>
  <c r="AV73" i="1"/>
  <c r="AS73" i="1"/>
  <c r="AP73" i="1"/>
  <c r="AM73" i="1"/>
  <c r="AJ73" i="1"/>
  <c r="AV72" i="1"/>
  <c r="AS72" i="1"/>
  <c r="AP72" i="1"/>
  <c r="AM72" i="1"/>
  <c r="AJ72" i="1"/>
  <c r="AS71" i="1"/>
  <c r="AP71" i="1"/>
  <c r="AM71" i="1"/>
  <c r="AJ71" i="1"/>
  <c r="AB1" i="2" l="1"/>
  <c r="AC1" i="2" l="1"/>
  <c r="F4" i="4"/>
  <c r="J4" i="4"/>
  <c r="N4" i="4"/>
  <c r="F5" i="4"/>
  <c r="J5" i="4"/>
  <c r="N5" i="4"/>
  <c r="F6" i="4"/>
  <c r="J6" i="4"/>
  <c r="N6" i="4"/>
  <c r="F7" i="4"/>
  <c r="J7" i="4"/>
  <c r="N7" i="4"/>
  <c r="F8" i="4"/>
  <c r="J8" i="4"/>
  <c r="N8" i="4"/>
  <c r="F9" i="4"/>
  <c r="J9" i="4"/>
  <c r="N9" i="4"/>
  <c r="F10" i="4"/>
  <c r="J10" i="4"/>
  <c r="N10" i="4"/>
  <c r="F11" i="4"/>
  <c r="J11" i="4"/>
  <c r="N11" i="4"/>
  <c r="F12" i="4"/>
  <c r="J12" i="4"/>
  <c r="N12" i="4"/>
  <c r="F13" i="4"/>
  <c r="J13" i="4"/>
  <c r="N13" i="4"/>
  <c r="F14" i="4"/>
  <c r="J14" i="4"/>
  <c r="N14" i="4"/>
  <c r="F15" i="4"/>
  <c r="J15" i="4"/>
  <c r="N15" i="4"/>
  <c r="F16" i="4"/>
  <c r="J16" i="4"/>
  <c r="N16" i="4"/>
  <c r="F17" i="4"/>
  <c r="J17" i="4"/>
  <c r="N17" i="4"/>
  <c r="F18" i="4"/>
  <c r="J18" i="4"/>
  <c r="N18" i="4"/>
  <c r="F19" i="4"/>
  <c r="J19" i="4"/>
  <c r="N19" i="4"/>
  <c r="F20" i="4"/>
  <c r="J20" i="4"/>
  <c r="N20" i="4"/>
  <c r="C21" i="4"/>
  <c r="D21" i="4"/>
  <c r="E21" i="4"/>
  <c r="G21" i="4"/>
  <c r="H21" i="4"/>
  <c r="I21" i="4"/>
  <c r="K21" i="4"/>
  <c r="L21" i="4"/>
  <c r="M21" i="4"/>
  <c r="E1" i="1"/>
  <c r="L1" i="1"/>
  <c r="P16" i="3" s="1"/>
  <c r="O1" i="1"/>
  <c r="S16" i="3" s="1"/>
  <c r="R1" i="1"/>
  <c r="V16" i="3" s="1"/>
  <c r="U1" i="1"/>
  <c r="Y16" i="3" s="1"/>
  <c r="X1" i="1"/>
  <c r="AB16" i="3" s="1"/>
  <c r="AA1" i="1"/>
  <c r="AE16" i="3" s="1"/>
  <c r="AE1" i="1"/>
  <c r="AI16" i="3" s="1"/>
  <c r="AH1" i="1"/>
  <c r="AL16" i="3" s="1"/>
  <c r="AK1" i="1"/>
  <c r="AO16" i="3" s="1"/>
  <c r="AN1" i="1"/>
  <c r="AR16" i="3" s="1"/>
  <c r="AQ1" i="1"/>
  <c r="AU16" i="3" s="1"/>
  <c r="AT1" i="1"/>
  <c r="AX16" i="3" s="1"/>
  <c r="AW1" i="1"/>
  <c r="BA16" i="3" s="1"/>
  <c r="BA1" i="1"/>
  <c r="BE16" i="3" s="1"/>
  <c r="D63" i="1"/>
  <c r="E63" i="1"/>
  <c r="I63" i="1"/>
  <c r="L63" i="1"/>
  <c r="O63" i="1"/>
  <c r="R63" i="1"/>
  <c r="U63" i="1"/>
  <c r="X63" i="1"/>
  <c r="AA63" i="1"/>
  <c r="AE63" i="1"/>
  <c r="AH63" i="1"/>
  <c r="AK63" i="1"/>
  <c r="AN63" i="1"/>
  <c r="AQ63" i="1"/>
  <c r="AT63" i="1"/>
  <c r="AW63" i="1"/>
  <c r="BA63" i="1"/>
  <c r="G67" i="1"/>
  <c r="K67" i="1"/>
  <c r="AC67" i="1"/>
  <c r="AG67" i="1"/>
  <c r="AY67" i="1"/>
  <c r="BC67" i="1"/>
  <c r="G68" i="1"/>
  <c r="K68" i="1"/>
  <c r="AC68" i="1"/>
  <c r="AG68" i="1"/>
  <c r="AY68" i="1"/>
  <c r="BC68" i="1"/>
  <c r="G69" i="1"/>
  <c r="K69" i="1"/>
  <c r="AC69" i="1"/>
  <c r="AG69" i="1"/>
  <c r="AY69" i="1"/>
  <c r="BC69" i="1"/>
  <c r="AY74" i="1"/>
  <c r="AG74" i="1"/>
  <c r="N72" i="1"/>
  <c r="Q72" i="1"/>
  <c r="T72" i="1"/>
  <c r="W72" i="1"/>
  <c r="Z72" i="1"/>
  <c r="N73" i="1"/>
  <c r="Q73" i="1"/>
  <c r="T73" i="1"/>
  <c r="W73" i="1"/>
  <c r="Z73" i="1"/>
  <c r="N74" i="1"/>
  <c r="Q74" i="1"/>
  <c r="T74" i="1"/>
  <c r="W74" i="1"/>
  <c r="Z74" i="1"/>
  <c r="I22" i="3" l="1" a="1"/>
  <c r="I22" i="3" s="1"/>
  <c r="I18" i="3" a="1"/>
  <c r="I18" i="3" s="1"/>
  <c r="I16" i="3"/>
  <c r="AY26" i="3" a="1"/>
  <c r="AY26" i="3" s="1"/>
  <c r="AZ23" i="3" a="1"/>
  <c r="AZ23" i="3" s="1"/>
  <c r="AY24" i="3" a="1"/>
  <c r="AY24" i="3" s="1"/>
  <c r="AZ19" i="3" a="1"/>
  <c r="AZ19" i="3" s="1"/>
  <c r="AZ12" i="3" a="1"/>
  <c r="AZ12" i="3" s="1"/>
  <c r="AY8" i="3" a="1"/>
  <c r="AY8" i="3" s="1"/>
  <c r="AY5" i="3" a="1"/>
  <c r="AY5" i="3" s="1"/>
  <c r="AY22" i="3" a="1"/>
  <c r="AY22" i="3" s="1"/>
  <c r="AZ26" i="3" a="1"/>
  <c r="AZ26" i="3" s="1"/>
  <c r="AY18" i="3" a="1"/>
  <c r="AY18" i="3" s="1"/>
  <c r="AY4" i="3" a="1"/>
  <c r="AY4" i="3" s="1"/>
  <c r="AY28" i="3" a="1"/>
  <c r="AY28" i="3" s="1"/>
  <c r="AZ9" i="3" a="1"/>
  <c r="AZ9" i="3" s="1"/>
  <c r="AZ6" i="3" a="1"/>
  <c r="AZ6" i="3" s="1"/>
  <c r="AY6" i="3" a="1"/>
  <c r="AY6" i="3" s="1"/>
  <c r="AZ4" i="3" a="1"/>
  <c r="AZ4" i="3" s="1"/>
  <c r="AZ18" i="3" a="1"/>
  <c r="AZ18" i="3" s="1"/>
  <c r="AZ7" i="3" a="1"/>
  <c r="AZ7" i="3" s="1"/>
  <c r="AY23" i="3" a="1"/>
  <c r="AY23" i="3" s="1"/>
  <c r="AZ28" i="3" a="1"/>
  <c r="AZ28" i="3" s="1"/>
  <c r="AZ10" i="3" a="1"/>
  <c r="AZ10" i="3" s="1"/>
  <c r="AY9" i="3" a="1"/>
  <c r="AY9" i="3" s="1"/>
  <c r="AY7" i="3" a="1"/>
  <c r="AY7" i="3" s="1"/>
  <c r="AZ20" i="3" a="1"/>
  <c r="AZ20" i="3" s="1"/>
  <c r="AZ11" i="3" a="1"/>
  <c r="AZ11" i="3" s="1"/>
  <c r="AZ24" i="3" a="1"/>
  <c r="AZ24" i="3" s="1"/>
  <c r="AY21" i="3" a="1"/>
  <c r="AY21" i="3" s="1"/>
  <c r="AZ21" i="3" a="1"/>
  <c r="AZ21" i="3" s="1"/>
  <c r="AZ27" i="3" a="1"/>
  <c r="AZ27" i="3" s="1"/>
  <c r="AY11" i="3" a="1"/>
  <c r="AY11" i="3" s="1"/>
  <c r="AZ5" i="3" a="1"/>
  <c r="AZ5" i="3" s="1"/>
  <c r="AZ22" i="3" a="1"/>
  <c r="AZ22" i="3" s="1"/>
  <c r="AZ8" i="3" a="1"/>
  <c r="AZ8" i="3" s="1"/>
  <c r="AZ3" i="3" a="1"/>
  <c r="AZ3" i="3" s="1"/>
  <c r="AY20" i="3" a="1"/>
  <c r="AY20" i="3" s="1"/>
  <c r="AY25" i="3" a="1"/>
  <c r="AY25" i="3" s="1"/>
  <c r="AY19" i="3" a="1"/>
  <c r="AY19" i="3" s="1"/>
  <c r="AZ25" i="3" a="1"/>
  <c r="AZ25" i="3" s="1"/>
  <c r="AY27" i="3" a="1"/>
  <c r="AY27" i="3" s="1"/>
  <c r="AY12" i="3" a="1"/>
  <c r="AY12" i="3" s="1"/>
  <c r="AY3" i="3" a="1"/>
  <c r="AY3" i="3" s="1"/>
  <c r="AY10" i="3" a="1"/>
  <c r="AY10" i="3" s="1"/>
  <c r="BD22" i="3" a="1"/>
  <c r="BD22" i="3" s="1"/>
  <c r="BD27" i="3" a="1"/>
  <c r="BD27" i="3" s="1"/>
  <c r="BD12" i="3" a="1"/>
  <c r="BD12" i="3" s="1"/>
  <c r="BD8" i="3" a="1"/>
  <c r="BD8" i="3" s="1"/>
  <c r="BD4" i="3" a="1"/>
  <c r="BD4" i="3" s="1"/>
  <c r="BD20" i="3" a="1"/>
  <c r="BD20" i="3" s="1"/>
  <c r="BD26" i="3" a="1"/>
  <c r="BD26" i="3" s="1"/>
  <c r="BD23" i="3" a="1"/>
  <c r="BD23" i="3" s="1"/>
  <c r="BD28" i="3" a="1"/>
  <c r="BD28" i="3" s="1"/>
  <c r="BD18" i="3" a="1"/>
  <c r="BD18" i="3" s="1"/>
  <c r="BD24" i="3" a="1"/>
  <c r="BD24" i="3" s="1"/>
  <c r="BD11" i="3" a="1"/>
  <c r="BD11" i="3" s="1"/>
  <c r="BD7" i="3" a="1"/>
  <c r="BD7" i="3" s="1"/>
  <c r="BD3" i="3" a="1"/>
  <c r="BD3" i="3" s="1"/>
  <c r="BD21" i="3" a="1"/>
  <c r="BD21" i="3" s="1"/>
  <c r="BD19" i="3" a="1"/>
  <c r="BD19" i="3" s="1"/>
  <c r="BD25" i="3" a="1"/>
  <c r="BD25" i="3" s="1"/>
  <c r="AX21" i="3" a="1"/>
  <c r="AX21" i="3" s="1"/>
  <c r="AX10" i="3" a="1"/>
  <c r="AX10" i="3" s="1"/>
  <c r="AX6" i="3" a="1"/>
  <c r="AX6" i="3" s="1"/>
  <c r="AX9" i="3" a="1"/>
  <c r="AX9" i="3" s="1"/>
  <c r="AX20" i="3" a="1"/>
  <c r="AX20" i="3" s="1"/>
  <c r="AX18" i="3" a="1"/>
  <c r="AX18" i="3" s="1"/>
  <c r="AX22" i="3" a="1"/>
  <c r="AX22" i="3" s="1"/>
  <c r="AX24" i="3" a="1"/>
  <c r="AX24" i="3" s="1"/>
  <c r="AX27" i="3" a="1"/>
  <c r="AX27" i="3" s="1"/>
  <c r="AX11" i="3" a="1"/>
  <c r="AX11" i="3" s="1"/>
  <c r="AX7" i="3" a="1"/>
  <c r="AX7" i="3" s="1"/>
  <c r="AX3" i="3" a="1"/>
  <c r="AX3" i="3" s="1"/>
  <c r="AX4" i="3" a="1"/>
  <c r="AX4" i="3" s="1"/>
  <c r="AX19" i="3" a="1"/>
  <c r="AX19" i="3" s="1"/>
  <c r="AX23" i="3" a="1"/>
  <c r="AX23" i="3" s="1"/>
  <c r="AX25" i="3" a="1"/>
  <c r="AX25" i="3" s="1"/>
  <c r="AX12" i="3" a="1"/>
  <c r="AX12" i="3" s="1"/>
  <c r="AX8" i="3" a="1"/>
  <c r="AX8" i="3" s="1"/>
  <c r="AX28" i="3" a="1"/>
  <c r="AX28" i="3" s="1"/>
  <c r="AX5" i="3" a="1"/>
  <c r="AX5" i="3" s="1"/>
  <c r="AW20" i="3" a="1"/>
  <c r="AW20" i="3" s="1"/>
  <c r="AV7" i="3" a="1"/>
  <c r="AV7" i="3" s="1"/>
  <c r="AW28" i="3" a="1"/>
  <c r="AW28" i="3" s="1"/>
  <c r="AV10" i="3" a="1"/>
  <c r="AV10" i="3" s="1"/>
  <c r="AW22" i="3" a="1"/>
  <c r="AW22" i="3" s="1"/>
  <c r="AW25" i="3" a="1"/>
  <c r="AW25" i="3" s="1"/>
  <c r="AV8" i="3" a="1"/>
  <c r="AV8" i="3" s="1"/>
  <c r="AV11" i="3" a="1"/>
  <c r="AV11" i="3" s="1"/>
  <c r="AV23" i="3" a="1"/>
  <c r="AV23" i="3" s="1"/>
  <c r="AW26" i="3" a="1"/>
  <c r="AW26" i="3" s="1"/>
  <c r="AW9" i="3" a="1"/>
  <c r="AW9" i="3" s="1"/>
  <c r="AW3" i="3" a="1"/>
  <c r="AW3" i="3" s="1"/>
  <c r="AW21" i="3" a="1"/>
  <c r="AW21" i="3" s="1"/>
  <c r="AV26" i="3" a="1"/>
  <c r="AV26" i="3" s="1"/>
  <c r="AW18" i="3" a="1"/>
  <c r="AW18" i="3" s="1"/>
  <c r="AW6" i="3" a="1"/>
  <c r="AW6" i="3" s="1"/>
  <c r="AW11" i="3" a="1"/>
  <c r="AW11" i="3" s="1"/>
  <c r="AV9" i="3" a="1"/>
  <c r="AV9" i="3" s="1"/>
  <c r="AV3" i="3" a="1"/>
  <c r="AV3" i="3" s="1"/>
  <c r="AV27" i="3" a="1"/>
  <c r="AV27" i="3" s="1"/>
  <c r="AV6" i="3" a="1"/>
  <c r="AV6" i="3" s="1"/>
  <c r="AW24" i="3" a="1"/>
  <c r="AW24" i="3" s="1"/>
  <c r="AV18" i="3" a="1"/>
  <c r="AV18" i="3" s="1"/>
  <c r="AV5" i="3" a="1"/>
  <c r="AV5" i="3" s="1"/>
  <c r="AV22" i="3" a="1"/>
  <c r="AV22" i="3" s="1"/>
  <c r="AV4" i="3" a="1"/>
  <c r="AV4" i="3" s="1"/>
  <c r="AV20" i="3" a="1"/>
  <c r="AV20" i="3" s="1"/>
  <c r="AW19" i="3" a="1"/>
  <c r="AW19" i="3" s="1"/>
  <c r="AW27" i="3" a="1"/>
  <c r="AW27" i="3" s="1"/>
  <c r="AV25" i="3" a="1"/>
  <c r="AV25" i="3" s="1"/>
  <c r="AV28" i="3" a="1"/>
  <c r="AV28" i="3" s="1"/>
  <c r="AV19" i="3" a="1"/>
  <c r="AV19" i="3" s="1"/>
  <c r="AW5" i="3" a="1"/>
  <c r="AW5" i="3" s="1"/>
  <c r="AW23" i="3" a="1"/>
  <c r="AW23" i="3" s="1"/>
  <c r="AW8" i="3" a="1"/>
  <c r="AW8" i="3" s="1"/>
  <c r="AW10" i="3" a="1"/>
  <c r="AW10" i="3" s="1"/>
  <c r="AV12" i="3" a="1"/>
  <c r="AV12" i="3" s="1"/>
  <c r="AW12" i="3" a="1"/>
  <c r="AW12" i="3" s="1"/>
  <c r="AW7" i="3" a="1"/>
  <c r="AW7" i="3" s="1"/>
  <c r="AV21" i="3" a="1"/>
  <c r="AV21" i="3" s="1"/>
  <c r="AW4" i="3" a="1"/>
  <c r="AW4" i="3" s="1"/>
  <c r="AV24" i="3" a="1"/>
  <c r="AV24" i="3" s="1"/>
  <c r="AB23" i="3" a="1"/>
  <c r="AB23" i="3" s="1"/>
  <c r="AB28" i="3" a="1"/>
  <c r="AB28" i="3" s="1"/>
  <c r="AB18" i="3" a="1"/>
  <c r="AB18" i="3" s="1"/>
  <c r="AB24" i="3" a="1"/>
  <c r="AB24" i="3" s="1"/>
  <c r="AB12" i="3" a="1"/>
  <c r="AB12" i="3" s="1"/>
  <c r="AB9" i="3" a="1"/>
  <c r="AB9" i="3" s="1"/>
  <c r="AB8" i="3" a="1"/>
  <c r="AB8" i="3" s="1"/>
  <c r="AB5" i="3" a="1"/>
  <c r="AB5" i="3" s="1"/>
  <c r="AB4" i="3" a="1"/>
  <c r="AB4" i="3" s="1"/>
  <c r="AB20" i="3" a="1"/>
  <c r="AB20" i="3" s="1"/>
  <c r="AB21" i="3" a="1"/>
  <c r="AB21" i="3" s="1"/>
  <c r="AB19" i="3" a="1"/>
  <c r="AB19" i="3" s="1"/>
  <c r="AB25" i="3" a="1"/>
  <c r="AB25" i="3" s="1"/>
  <c r="AB22" i="3" a="1"/>
  <c r="AB22" i="3" s="1"/>
  <c r="AB27" i="3" a="1"/>
  <c r="AB27" i="3" s="1"/>
  <c r="AB11" i="3" a="1"/>
  <c r="AB11" i="3" s="1"/>
  <c r="AB10" i="3" a="1"/>
  <c r="AB10" i="3" s="1"/>
  <c r="AB7" i="3" a="1"/>
  <c r="AB7" i="3" s="1"/>
  <c r="AB6" i="3" a="1"/>
  <c r="AB6" i="3" s="1"/>
  <c r="AB3" i="3" a="1"/>
  <c r="AB3" i="3" s="1"/>
  <c r="AC20" i="3" a="1"/>
  <c r="AC20" i="3" s="1"/>
  <c r="AD25" i="3" a="1"/>
  <c r="AD25" i="3" s="1"/>
  <c r="AC8" i="3" a="1"/>
  <c r="AC8" i="3" s="1"/>
  <c r="AC28" i="3" a="1"/>
  <c r="AC28" i="3" s="1"/>
  <c r="AD6" i="3" a="1"/>
  <c r="AD6" i="3" s="1"/>
  <c r="AC18" i="3" a="1"/>
  <c r="AC18" i="3" s="1"/>
  <c r="AC11" i="3" a="1"/>
  <c r="AC11" i="3" s="1"/>
  <c r="AD18" i="3" a="1"/>
  <c r="AD18" i="3" s="1"/>
  <c r="AD12" i="3" a="1"/>
  <c r="AD12" i="3" s="1"/>
  <c r="AD4" i="3" a="1"/>
  <c r="AD4" i="3" s="1"/>
  <c r="AD9" i="3" a="1"/>
  <c r="AD9" i="3" s="1"/>
  <c r="AD21" i="3" a="1"/>
  <c r="AD21" i="3" s="1"/>
  <c r="AC27" i="3" a="1"/>
  <c r="AC27" i="3" s="1"/>
  <c r="AC5" i="3" a="1"/>
  <c r="AC5" i="3" s="1"/>
  <c r="AD22" i="3" a="1"/>
  <c r="AD22" i="3" s="1"/>
  <c r="AD11" i="3" a="1"/>
  <c r="AD11" i="3" s="1"/>
  <c r="AD3" i="3" a="1"/>
  <c r="AD3" i="3" s="1"/>
  <c r="AD23" i="3" a="1"/>
  <c r="AD23" i="3" s="1"/>
  <c r="AC10" i="3" a="1"/>
  <c r="AC10" i="3" s="1"/>
  <c r="AC19" i="3" a="1"/>
  <c r="AC19" i="3" s="1"/>
  <c r="AD19" i="3" a="1"/>
  <c r="AD19" i="3" s="1"/>
  <c r="AC12" i="3" a="1"/>
  <c r="AC12" i="3" s="1"/>
  <c r="AC4" i="3" a="1"/>
  <c r="AC4" i="3" s="1"/>
  <c r="AC23" i="3" a="1"/>
  <c r="AC23" i="3" s="1"/>
  <c r="AD10" i="3" a="1"/>
  <c r="AD10" i="3" s="1"/>
  <c r="AC7" i="3" a="1"/>
  <c r="AC7" i="3" s="1"/>
  <c r="AC24" i="3" a="1"/>
  <c r="AC24" i="3" s="1"/>
  <c r="AC3" i="3" a="1"/>
  <c r="AC3" i="3" s="1"/>
  <c r="AD24" i="3" a="1"/>
  <c r="AD24" i="3" s="1"/>
  <c r="AD8" i="3" a="1"/>
  <c r="AD8" i="3" s="1"/>
  <c r="AC6" i="3" a="1"/>
  <c r="AC6" i="3" s="1"/>
  <c r="AC22" i="3" a="1"/>
  <c r="AC22" i="3" s="1"/>
  <c r="AC9" i="3" a="1"/>
  <c r="AC9" i="3" s="1"/>
  <c r="AD20" i="3" a="1"/>
  <c r="AD20" i="3" s="1"/>
  <c r="AD27" i="3" a="1"/>
  <c r="AD27" i="3" s="1"/>
  <c r="AD7" i="3" a="1"/>
  <c r="AD7" i="3" s="1"/>
  <c r="AD28" i="3" a="1"/>
  <c r="AD28" i="3" s="1"/>
  <c r="AC21" i="3" a="1"/>
  <c r="AC21" i="3" s="1"/>
  <c r="AC25" i="3" a="1"/>
  <c r="AC25" i="3" s="1"/>
  <c r="AD5" i="3" a="1"/>
  <c r="AD5" i="3" s="1"/>
  <c r="AM20" i="3" a="1"/>
  <c r="AM20" i="3" s="1"/>
  <c r="AM21" i="3" a="1"/>
  <c r="AM21" i="3" s="1"/>
  <c r="AN20" i="3" a="1"/>
  <c r="AN20" i="3" s="1"/>
  <c r="AN21" i="3" a="1"/>
  <c r="AN21" i="3" s="1"/>
  <c r="AO20" i="3" a="1"/>
  <c r="AO20" i="3" s="1"/>
  <c r="AO21" i="3" a="1"/>
  <c r="AO21" i="3" s="1"/>
  <c r="AU20" i="3" a="1"/>
  <c r="AU20" i="3" s="1"/>
  <c r="AU21" i="3" a="1"/>
  <c r="AU21" i="3" s="1"/>
  <c r="AT20" i="3" a="1"/>
  <c r="AT20" i="3" s="1"/>
  <c r="AS20" i="3" a="1"/>
  <c r="AS20" i="3" s="1"/>
  <c r="AS21" i="3" a="1"/>
  <c r="AS21" i="3" s="1"/>
  <c r="AT21" i="3" a="1"/>
  <c r="AT21" i="3" s="1"/>
  <c r="AH20" i="3" a="1"/>
  <c r="AH20" i="3" s="1"/>
  <c r="AH21" i="3" a="1"/>
  <c r="AH21" i="3" s="1"/>
  <c r="AQ20" i="3" a="1"/>
  <c r="AQ20" i="3" s="1"/>
  <c r="AQ21" i="3" a="1"/>
  <c r="AQ21" i="3" s="1"/>
  <c r="AR20" i="3" a="1"/>
  <c r="AR20" i="3" s="1"/>
  <c r="AR21" i="3" a="1"/>
  <c r="AR21" i="3" s="1"/>
  <c r="AP21" i="3" a="1"/>
  <c r="AP21" i="3" s="1"/>
  <c r="AP20" i="3" a="1"/>
  <c r="AP20" i="3" s="1"/>
  <c r="AA20" i="3" a="1"/>
  <c r="AA20" i="3" s="1"/>
  <c r="Z21" i="3" a="1"/>
  <c r="Z21" i="3" s="1"/>
  <c r="AA21" i="3" a="1"/>
  <c r="AA21" i="3" s="1"/>
  <c r="Z20" i="3" a="1"/>
  <c r="Z20" i="3" s="1"/>
  <c r="T20" i="3" a="1"/>
  <c r="T20" i="3" s="1"/>
  <c r="U20" i="3" a="1"/>
  <c r="U20" i="3" s="1"/>
  <c r="T21" i="3" a="1"/>
  <c r="T21" i="3" s="1"/>
  <c r="V21" i="3" a="1"/>
  <c r="V21" i="3" s="1"/>
  <c r="V20" i="3" a="1"/>
  <c r="V20" i="3" s="1"/>
  <c r="U21" i="3" a="1"/>
  <c r="U21" i="3" s="1"/>
  <c r="X20" i="3" a="1"/>
  <c r="X20" i="3" s="1"/>
  <c r="W21" i="3" a="1"/>
  <c r="W21" i="3" s="1"/>
  <c r="X21" i="3" a="1"/>
  <c r="X21" i="3" s="1"/>
  <c r="Y21" i="3" a="1"/>
  <c r="Y21" i="3" s="1"/>
  <c r="W20" i="3" a="1"/>
  <c r="W20" i="3" s="1"/>
  <c r="Y20" i="3" a="1"/>
  <c r="Y20" i="3" s="1"/>
  <c r="L21" i="3" a="1"/>
  <c r="L21" i="3" s="1"/>
  <c r="L20" i="3" a="1"/>
  <c r="L20" i="3" s="1"/>
  <c r="S21" i="3" a="1"/>
  <c r="S21" i="3" s="1"/>
  <c r="Q20" i="3" a="1"/>
  <c r="Q20" i="3" s="1"/>
  <c r="R20" i="3" a="1"/>
  <c r="R20" i="3" s="1"/>
  <c r="Q21" i="3" a="1"/>
  <c r="Q21" i="3" s="1"/>
  <c r="S20" i="3" a="1"/>
  <c r="S20" i="3" s="1"/>
  <c r="R21" i="3" a="1"/>
  <c r="R21" i="3" s="1"/>
  <c r="Y26" i="3" a="1"/>
  <c r="Y26" i="3" s="1"/>
  <c r="X18" i="3" a="1"/>
  <c r="X18" i="3" s="1"/>
  <c r="W22" i="3" a="1"/>
  <c r="W22" i="3" s="1"/>
  <c r="W23" i="3" a="1"/>
  <c r="W23" i="3" s="1"/>
  <c r="X24" i="3" a="1"/>
  <c r="X24" i="3" s="1"/>
  <c r="X27" i="3" a="1"/>
  <c r="X27" i="3" s="1"/>
  <c r="Y12" i="3" a="1"/>
  <c r="Y12" i="3" s="1"/>
  <c r="Y11" i="3" a="1"/>
  <c r="Y11" i="3" s="1"/>
  <c r="X8" i="3" a="1"/>
  <c r="X8" i="3" s="1"/>
  <c r="W7" i="3" a="1"/>
  <c r="W7" i="3" s="1"/>
  <c r="X6" i="3" a="1"/>
  <c r="X6" i="3" s="1"/>
  <c r="X5" i="3" a="1"/>
  <c r="X5" i="3" s="1"/>
  <c r="Y18" i="3" a="1"/>
  <c r="Y18" i="3" s="1"/>
  <c r="W19" i="3" a="1"/>
  <c r="W19" i="3" s="1"/>
  <c r="X22" i="3" a="1"/>
  <c r="X22" i="3" s="1"/>
  <c r="X23" i="3" a="1"/>
  <c r="X23" i="3" s="1"/>
  <c r="Y24" i="3" a="1"/>
  <c r="Y24" i="3" s="1"/>
  <c r="W25" i="3" a="1"/>
  <c r="W25" i="3" s="1"/>
  <c r="Y27" i="3" a="1"/>
  <c r="Y27" i="3" s="1"/>
  <c r="W28" i="3" a="1"/>
  <c r="W28" i="3" s="1"/>
  <c r="X12" i="3" a="1"/>
  <c r="X12" i="3" s="1"/>
  <c r="X11" i="3" a="1"/>
  <c r="X11" i="3" s="1"/>
  <c r="Y10" i="3" a="1"/>
  <c r="Y10" i="3" s="1"/>
  <c r="Y9" i="3" a="1"/>
  <c r="Y9" i="3" s="1"/>
  <c r="W8" i="3" a="1"/>
  <c r="W8" i="3" s="1"/>
  <c r="W6" i="3" a="1"/>
  <c r="W6" i="3" s="1"/>
  <c r="W5" i="3" a="1"/>
  <c r="W5" i="3" s="1"/>
  <c r="Y4" i="3" a="1"/>
  <c r="Y4" i="3" s="1"/>
  <c r="Y3" i="3" a="1"/>
  <c r="Y3" i="3" s="1"/>
  <c r="W26" i="3" a="1"/>
  <c r="W26" i="3" s="1"/>
  <c r="X19" i="3" a="1"/>
  <c r="X19" i="3" s="1"/>
  <c r="Y22" i="3" a="1"/>
  <c r="Y22" i="3" s="1"/>
  <c r="Y23" i="3" a="1"/>
  <c r="Y23" i="3" s="1"/>
  <c r="X25" i="3" a="1"/>
  <c r="X25" i="3" s="1"/>
  <c r="X28" i="3" a="1"/>
  <c r="X28" i="3" s="1"/>
  <c r="W12" i="3" a="1"/>
  <c r="W12" i="3" s="1"/>
  <c r="W11" i="3" a="1"/>
  <c r="W11" i="3" s="1"/>
  <c r="X10" i="3" a="1"/>
  <c r="X10" i="3" s="1"/>
  <c r="X9" i="3" a="1"/>
  <c r="X9" i="3" s="1"/>
  <c r="Y7" i="3" a="1"/>
  <c r="Y7" i="3" s="1"/>
  <c r="X4" i="3" a="1"/>
  <c r="X4" i="3" s="1"/>
  <c r="X3" i="3" a="1"/>
  <c r="X3" i="3" s="1"/>
  <c r="X26" i="3" a="1"/>
  <c r="X26" i="3" s="1"/>
  <c r="W18" i="3" a="1"/>
  <c r="W18" i="3" s="1"/>
  <c r="Y19" i="3" a="1"/>
  <c r="Y19" i="3" s="1"/>
  <c r="W24" i="3" a="1"/>
  <c r="W24" i="3" s="1"/>
  <c r="Y25" i="3" a="1"/>
  <c r="Y25" i="3" s="1"/>
  <c r="W27" i="3" a="1"/>
  <c r="W27" i="3" s="1"/>
  <c r="Y28" i="3" a="1"/>
  <c r="Y28" i="3" s="1"/>
  <c r="W10" i="3" a="1"/>
  <c r="W10" i="3" s="1"/>
  <c r="W9" i="3" a="1"/>
  <c r="W9" i="3" s="1"/>
  <c r="Y8" i="3" a="1"/>
  <c r="Y8" i="3" s="1"/>
  <c r="X7" i="3" a="1"/>
  <c r="X7" i="3" s="1"/>
  <c r="Y6" i="3" a="1"/>
  <c r="Y6" i="3" s="1"/>
  <c r="W4" i="3" a="1"/>
  <c r="W4" i="3" s="1"/>
  <c r="W3" i="3" a="1"/>
  <c r="W3" i="3" s="1"/>
  <c r="Y5" i="3" a="1"/>
  <c r="Y5" i="3" s="1"/>
  <c r="L18" i="3" a="1"/>
  <c r="L18" i="3" s="1"/>
  <c r="L23" i="3" a="1"/>
  <c r="L23" i="3" s="1"/>
  <c r="L24" i="3" a="1"/>
  <c r="L24" i="3" s="1"/>
  <c r="L27" i="3" a="1"/>
  <c r="L27" i="3" s="1"/>
  <c r="L8" i="3" a="1"/>
  <c r="L8" i="3" s="1"/>
  <c r="L22" i="3" a="1"/>
  <c r="L22" i="3" s="1"/>
  <c r="L11" i="3" a="1"/>
  <c r="L11" i="3" s="1"/>
  <c r="L19" i="3" a="1"/>
  <c r="L19" i="3" s="1"/>
  <c r="L25" i="3" a="1"/>
  <c r="L25" i="3" s="1"/>
  <c r="L28" i="3" a="1"/>
  <c r="L28" i="3" s="1"/>
  <c r="L12" i="3" a="1"/>
  <c r="L12" i="3" s="1"/>
  <c r="L4" i="3" a="1"/>
  <c r="L4" i="3" s="1"/>
  <c r="L26" i="3" a="1"/>
  <c r="L26" i="3" s="1"/>
  <c r="L7" i="3" a="1"/>
  <c r="L7" i="3" s="1"/>
  <c r="L3" i="3" a="1"/>
  <c r="L3" i="3" s="1"/>
  <c r="Z19" i="3" a="1"/>
  <c r="Z19" i="3" s="1"/>
  <c r="Z25" i="3" a="1"/>
  <c r="Z25" i="3" s="1"/>
  <c r="AA7" i="3" a="1"/>
  <c r="AA7" i="3" s="1"/>
  <c r="AA25" i="3" a="1"/>
  <c r="AA25" i="3" s="1"/>
  <c r="AA6" i="3" a="1"/>
  <c r="AA6" i="3" s="1"/>
  <c r="Z24" i="3" a="1"/>
  <c r="Z24" i="3" s="1"/>
  <c r="Z8" i="3" a="1"/>
  <c r="Z8" i="3" s="1"/>
  <c r="AA18" i="3" a="1"/>
  <c r="AA18" i="3" s="1"/>
  <c r="AA24" i="3" a="1"/>
  <c r="AA24" i="3" s="1"/>
  <c r="AA10" i="3" a="1"/>
  <c r="AA10" i="3" s="1"/>
  <c r="AA4" i="3" a="1"/>
  <c r="AA4" i="3" s="1"/>
  <c r="Z28" i="3" a="1"/>
  <c r="Z28" i="3" s="1"/>
  <c r="Z26" i="3" a="1"/>
  <c r="Z26" i="3" s="1"/>
  <c r="AA28" i="3" a="1"/>
  <c r="AA28" i="3" s="1"/>
  <c r="AA5" i="3" a="1"/>
  <c r="AA5" i="3" s="1"/>
  <c r="Z27" i="3" a="1"/>
  <c r="Z27" i="3" s="1"/>
  <c r="Z6" i="3" a="1"/>
  <c r="Z6" i="3" s="1"/>
  <c r="AA27" i="3" a="1"/>
  <c r="AA27" i="3" s="1"/>
  <c r="AA9" i="3" a="1"/>
  <c r="AA9" i="3" s="1"/>
  <c r="AA3" i="3" a="1"/>
  <c r="AA3" i="3" s="1"/>
  <c r="AA22" i="3" a="1"/>
  <c r="AA22" i="3" s="1"/>
  <c r="Z10" i="3" a="1"/>
  <c r="Z10" i="3" s="1"/>
  <c r="AA19" i="3" a="1"/>
  <c r="AA19" i="3" s="1"/>
  <c r="AA8" i="3" a="1"/>
  <c r="AA8" i="3" s="1"/>
  <c r="Z18" i="3" a="1"/>
  <c r="Z18" i="3" s="1"/>
  <c r="AA12" i="3" a="1"/>
  <c r="AA12" i="3" s="1"/>
  <c r="Z5" i="3" a="1"/>
  <c r="Z5" i="3" s="1"/>
  <c r="Z22" i="3" a="1"/>
  <c r="Z22" i="3" s="1"/>
  <c r="Z12" i="3" a="1"/>
  <c r="Z12" i="3" s="1"/>
  <c r="Z4" i="3" a="1"/>
  <c r="Z4" i="3" s="1"/>
  <c r="AA23" i="3" a="1"/>
  <c r="AA23" i="3" s="1"/>
  <c r="Z9" i="3" a="1"/>
  <c r="Z9" i="3" s="1"/>
  <c r="Z7" i="3" a="1"/>
  <c r="Z7" i="3" s="1"/>
  <c r="AA11" i="3" a="1"/>
  <c r="AA11" i="3" s="1"/>
  <c r="AA26" i="3" a="1"/>
  <c r="AA26" i="3" s="1"/>
  <c r="Z23" i="3" a="1"/>
  <c r="Z23" i="3" s="1"/>
  <c r="Z11" i="3" a="1"/>
  <c r="Z11" i="3" s="1"/>
  <c r="Z3" i="3" a="1"/>
  <c r="Z3" i="3" s="1"/>
  <c r="V26" i="3" a="1"/>
  <c r="V26" i="3" s="1"/>
  <c r="T18" i="3" a="1"/>
  <c r="T18" i="3" s="1"/>
  <c r="V19" i="3" a="1"/>
  <c r="V19" i="3" s="1"/>
  <c r="T24" i="3" a="1"/>
  <c r="T24" i="3" s="1"/>
  <c r="V25" i="3" a="1"/>
  <c r="V25" i="3" s="1"/>
  <c r="T27" i="3" a="1"/>
  <c r="T27" i="3" s="1"/>
  <c r="V28" i="3" a="1"/>
  <c r="V28" i="3" s="1"/>
  <c r="U12" i="3" a="1"/>
  <c r="U12" i="3" s="1"/>
  <c r="U11" i="3" a="1"/>
  <c r="U11" i="3" s="1"/>
  <c r="V10" i="3" a="1"/>
  <c r="V10" i="3" s="1"/>
  <c r="V9" i="3" a="1"/>
  <c r="V9" i="3" s="1"/>
  <c r="T8" i="3" a="1"/>
  <c r="T8" i="3" s="1"/>
  <c r="T6" i="3" a="1"/>
  <c r="T6" i="3" s="1"/>
  <c r="T26" i="3" a="1"/>
  <c r="T26" i="3" s="1"/>
  <c r="U18" i="3" a="1"/>
  <c r="U18" i="3" s="1"/>
  <c r="T22" i="3" a="1"/>
  <c r="T22" i="3" s="1"/>
  <c r="T23" i="3" a="1"/>
  <c r="T23" i="3" s="1"/>
  <c r="U24" i="3" a="1"/>
  <c r="U24" i="3" s="1"/>
  <c r="U27" i="3" a="1"/>
  <c r="U27" i="3" s="1"/>
  <c r="T12" i="3" a="1"/>
  <c r="T12" i="3" s="1"/>
  <c r="T11" i="3" a="1"/>
  <c r="T11" i="3" s="1"/>
  <c r="U10" i="3" a="1"/>
  <c r="U10" i="3" s="1"/>
  <c r="U9" i="3" a="1"/>
  <c r="U9" i="3" s="1"/>
  <c r="V7" i="3" a="1"/>
  <c r="V7" i="3" s="1"/>
  <c r="U4" i="3" a="1"/>
  <c r="U4" i="3" s="1"/>
  <c r="V18" i="3" a="1"/>
  <c r="V18" i="3" s="1"/>
  <c r="T19" i="3" a="1"/>
  <c r="T19" i="3" s="1"/>
  <c r="U22" i="3" a="1"/>
  <c r="U22" i="3" s="1"/>
  <c r="U23" i="3" a="1"/>
  <c r="U23" i="3" s="1"/>
  <c r="V24" i="3" a="1"/>
  <c r="V24" i="3" s="1"/>
  <c r="T25" i="3" a="1"/>
  <c r="T25" i="3" s="1"/>
  <c r="V27" i="3" a="1"/>
  <c r="V27" i="3" s="1"/>
  <c r="T28" i="3" a="1"/>
  <c r="T28" i="3" s="1"/>
  <c r="T10" i="3" a="1"/>
  <c r="T10" i="3" s="1"/>
  <c r="T9" i="3" a="1"/>
  <c r="T9" i="3" s="1"/>
  <c r="V8" i="3" a="1"/>
  <c r="V8" i="3" s="1"/>
  <c r="U7" i="3" a="1"/>
  <c r="U7" i="3" s="1"/>
  <c r="V6" i="3" a="1"/>
  <c r="V6" i="3" s="1"/>
  <c r="V5" i="3" a="1"/>
  <c r="V5" i="3" s="1"/>
  <c r="T4" i="3" a="1"/>
  <c r="T4" i="3" s="1"/>
  <c r="U3" i="3" a="1"/>
  <c r="U3" i="3" s="1"/>
  <c r="U26" i="3" a="1"/>
  <c r="U26" i="3" s="1"/>
  <c r="U19" i="3" a="1"/>
  <c r="U19" i="3" s="1"/>
  <c r="V22" i="3" a="1"/>
  <c r="V22" i="3" s="1"/>
  <c r="V23" i="3" a="1"/>
  <c r="V23" i="3" s="1"/>
  <c r="U25" i="3" a="1"/>
  <c r="U25" i="3" s="1"/>
  <c r="U28" i="3" a="1"/>
  <c r="U28" i="3" s="1"/>
  <c r="V12" i="3" a="1"/>
  <c r="V12" i="3" s="1"/>
  <c r="V11" i="3" a="1"/>
  <c r="V11" i="3" s="1"/>
  <c r="U8" i="3" a="1"/>
  <c r="U8" i="3" s="1"/>
  <c r="T7" i="3" a="1"/>
  <c r="T7" i="3" s="1"/>
  <c r="U6" i="3" a="1"/>
  <c r="U6" i="3" s="1"/>
  <c r="T5" i="3" a="1"/>
  <c r="T5" i="3" s="1"/>
  <c r="T3" i="3" a="1"/>
  <c r="T3" i="3" s="1"/>
  <c r="V4" i="3" a="1"/>
  <c r="V4" i="3" s="1"/>
  <c r="V3" i="3" a="1"/>
  <c r="V3" i="3" s="1"/>
  <c r="U5" i="3" a="1"/>
  <c r="U5" i="3" s="1"/>
  <c r="S26" i="3" a="1"/>
  <c r="S26" i="3" s="1"/>
  <c r="R19" i="3" a="1"/>
  <c r="R19" i="3" s="1"/>
  <c r="S22" i="3" a="1"/>
  <c r="S22" i="3" s="1"/>
  <c r="S23" i="3" a="1"/>
  <c r="S23" i="3" s="1"/>
  <c r="R25" i="3" a="1"/>
  <c r="R25" i="3" s="1"/>
  <c r="R28" i="3" a="1"/>
  <c r="R28" i="3" s="1"/>
  <c r="Q12" i="3" a="1"/>
  <c r="Q12" i="3" s="1"/>
  <c r="Q11" i="3" a="1"/>
  <c r="Q11" i="3" s="1"/>
  <c r="R10" i="3" a="1"/>
  <c r="R10" i="3" s="1"/>
  <c r="R9" i="3" a="1"/>
  <c r="R9" i="3" s="1"/>
  <c r="S7" i="3" a="1"/>
  <c r="S7" i="3" s="1"/>
  <c r="Q26" i="3" a="1"/>
  <c r="Q26" i="3" s="1"/>
  <c r="Q18" i="3" a="1"/>
  <c r="Q18" i="3" s="1"/>
  <c r="S19" i="3" a="1"/>
  <c r="S19" i="3" s="1"/>
  <c r="Q23" i="3" a="1"/>
  <c r="Q23" i="3" s="1"/>
  <c r="Q24" i="3" a="1"/>
  <c r="Q24" i="3" s="1"/>
  <c r="S25" i="3" a="1"/>
  <c r="S25" i="3" s="1"/>
  <c r="Q27" i="3" a="1"/>
  <c r="Q27" i="3" s="1"/>
  <c r="S28" i="3" a="1"/>
  <c r="S28" i="3" s="1"/>
  <c r="Q10" i="3" a="1"/>
  <c r="Q10" i="3" s="1"/>
  <c r="Q9" i="3" a="1"/>
  <c r="Q9" i="3" s="1"/>
  <c r="S8" i="3" a="1"/>
  <c r="S8" i="3" s="1"/>
  <c r="R7" i="3" a="1"/>
  <c r="R7" i="3" s="1"/>
  <c r="S6" i="3" a="1"/>
  <c r="S6" i="3" s="1"/>
  <c r="S5" i="3" a="1"/>
  <c r="S5" i="3" s="1"/>
  <c r="Q4" i="3" a="1"/>
  <c r="Q4" i="3" s="1"/>
  <c r="R26" i="3" a="1"/>
  <c r="R26" i="3" s="1"/>
  <c r="R18" i="3" a="1"/>
  <c r="R18" i="3" s="1"/>
  <c r="Q22" i="3" a="1"/>
  <c r="Q22" i="3" s="1"/>
  <c r="R23" i="3" a="1"/>
  <c r="R23" i="3" s="1"/>
  <c r="R24" i="3" a="1"/>
  <c r="R24" i="3" s="1"/>
  <c r="R27" i="3" a="1"/>
  <c r="R27" i="3" s="1"/>
  <c r="S12" i="3" a="1"/>
  <c r="S12" i="3" s="1"/>
  <c r="S11" i="3" a="1"/>
  <c r="S11" i="3" s="1"/>
  <c r="R8" i="3" a="1"/>
  <c r="R8" i="3" s="1"/>
  <c r="Q7" i="3" a="1"/>
  <c r="Q7" i="3" s="1"/>
  <c r="R6" i="3" a="1"/>
  <c r="R6" i="3" s="1"/>
  <c r="R5" i="3" a="1"/>
  <c r="R5" i="3" s="1"/>
  <c r="Q3" i="3" a="1"/>
  <c r="Q3" i="3" s="1"/>
  <c r="S18" i="3" a="1"/>
  <c r="S18" i="3" s="1"/>
  <c r="Q19" i="3" a="1"/>
  <c r="Q19" i="3" s="1"/>
  <c r="R22" i="3" a="1"/>
  <c r="R22" i="3" s="1"/>
  <c r="S24" i="3" a="1"/>
  <c r="S24" i="3" s="1"/>
  <c r="Q25" i="3" a="1"/>
  <c r="Q25" i="3" s="1"/>
  <c r="S27" i="3" a="1"/>
  <c r="S27" i="3" s="1"/>
  <c r="Q28" i="3" a="1"/>
  <c r="Q28" i="3" s="1"/>
  <c r="R12" i="3" a="1"/>
  <c r="R12" i="3" s="1"/>
  <c r="R11" i="3" a="1"/>
  <c r="R11" i="3" s="1"/>
  <c r="S10" i="3" a="1"/>
  <c r="S10" i="3" s="1"/>
  <c r="S9" i="3" a="1"/>
  <c r="S9" i="3" s="1"/>
  <c r="Q8" i="3" a="1"/>
  <c r="Q8" i="3" s="1"/>
  <c r="R4" i="3" a="1"/>
  <c r="R4" i="3" s="1"/>
  <c r="Q5" i="3" a="1"/>
  <c r="Q5" i="3" s="1"/>
  <c r="S3" i="3" a="1"/>
  <c r="S3" i="3" s="1"/>
  <c r="R3" i="3" a="1"/>
  <c r="R3" i="3" s="1"/>
  <c r="Q6" i="3" a="1"/>
  <c r="Q6" i="3" s="1"/>
  <c r="S4" i="3" a="1"/>
  <c r="S4" i="3" s="1"/>
  <c r="AM26" i="3" a="1"/>
  <c r="AM26" i="3" s="1"/>
  <c r="AO19" i="3" a="1"/>
  <c r="AO19" i="3" s="1"/>
  <c r="AN22" i="3" a="1"/>
  <c r="AN22" i="3" s="1"/>
  <c r="AM23" i="3" a="1"/>
  <c r="AM23" i="3" s="1"/>
  <c r="AO25" i="3" a="1"/>
  <c r="AO25" i="3" s="1"/>
  <c r="AN27" i="3" a="1"/>
  <c r="AN27" i="3" s="1"/>
  <c r="AM28" i="3" a="1"/>
  <c r="AM28" i="3" s="1"/>
  <c r="AN12" i="3" a="1"/>
  <c r="AN12" i="3" s="1"/>
  <c r="AM11" i="3" a="1"/>
  <c r="AM11" i="3" s="1"/>
  <c r="AN10" i="3" a="1"/>
  <c r="AN10" i="3" s="1"/>
  <c r="AN9" i="3" a="1"/>
  <c r="AN9" i="3" s="1"/>
  <c r="AO8" i="3" a="1"/>
  <c r="AO8" i="3" s="1"/>
  <c r="AN7" i="3" a="1"/>
  <c r="AN7" i="3" s="1"/>
  <c r="AO6" i="3" a="1"/>
  <c r="AO6" i="3" s="1"/>
  <c r="AN26" i="3" a="1"/>
  <c r="AN26" i="3" s="1"/>
  <c r="AM18" i="3" a="1"/>
  <c r="AM18" i="3" s="1"/>
  <c r="AO22" i="3" a="1"/>
  <c r="AO22" i="3" s="1"/>
  <c r="AN23" i="3" a="1"/>
  <c r="AN23" i="3" s="1"/>
  <c r="AM24" i="3" a="1"/>
  <c r="AM24" i="3" s="1"/>
  <c r="AO27" i="3" a="1"/>
  <c r="AO27" i="3" s="1"/>
  <c r="AN28" i="3" a="1"/>
  <c r="AN28" i="3" s="1"/>
  <c r="AM12" i="3" a="1"/>
  <c r="AM12" i="3" s="1"/>
  <c r="AM10" i="3" a="1"/>
  <c r="AM10" i="3" s="1"/>
  <c r="AM9" i="3" a="1"/>
  <c r="AM9" i="3" s="1"/>
  <c r="AN8" i="3" a="1"/>
  <c r="AN8" i="3" s="1"/>
  <c r="AM7" i="3" a="1"/>
  <c r="AM7" i="3" s="1"/>
  <c r="AN6" i="3" a="1"/>
  <c r="AN6" i="3" s="1"/>
  <c r="AN5" i="3" a="1"/>
  <c r="AN5" i="3" s="1"/>
  <c r="AO4" i="3" a="1"/>
  <c r="AO4" i="3" s="1"/>
  <c r="AN3" i="3" a="1"/>
  <c r="AN3" i="3" s="1"/>
  <c r="AN18" i="3" a="1"/>
  <c r="AN18" i="3" s="1"/>
  <c r="AM19" i="3" a="1"/>
  <c r="AM19" i="3" s="1"/>
  <c r="AO23" i="3" a="1"/>
  <c r="AO23" i="3" s="1"/>
  <c r="AN24" i="3" a="1"/>
  <c r="AN24" i="3" s="1"/>
  <c r="AM25" i="3" a="1"/>
  <c r="AM25" i="3" s="1"/>
  <c r="AO28" i="3" a="1"/>
  <c r="AO28" i="3" s="1"/>
  <c r="AO11" i="3" a="1"/>
  <c r="AO11" i="3" s="1"/>
  <c r="AM8" i="3" a="1"/>
  <c r="AM8" i="3" s="1"/>
  <c r="AM6" i="3" a="1"/>
  <c r="AM6" i="3" s="1"/>
  <c r="AM5" i="3" a="1"/>
  <c r="AM5" i="3" s="1"/>
  <c r="AN4" i="3" a="1"/>
  <c r="AN4" i="3" s="1"/>
  <c r="AM3" i="3" a="1"/>
  <c r="AM3" i="3" s="1"/>
  <c r="AO3" i="3" a="1"/>
  <c r="AO3" i="3" s="1"/>
  <c r="AO26" i="3" a="1"/>
  <c r="AO26" i="3" s="1"/>
  <c r="AO18" i="3" a="1"/>
  <c r="AO18" i="3" s="1"/>
  <c r="AN19" i="3" a="1"/>
  <c r="AN19" i="3" s="1"/>
  <c r="AM22" i="3" a="1"/>
  <c r="AM22" i="3" s="1"/>
  <c r="AO24" i="3" a="1"/>
  <c r="AO24" i="3" s="1"/>
  <c r="AN25" i="3" a="1"/>
  <c r="AN25" i="3" s="1"/>
  <c r="AM27" i="3" a="1"/>
  <c r="AM27" i="3" s="1"/>
  <c r="AO12" i="3" a="1"/>
  <c r="AO12" i="3" s="1"/>
  <c r="AN11" i="3" a="1"/>
  <c r="AN11" i="3" s="1"/>
  <c r="AO10" i="3" a="1"/>
  <c r="AO10" i="3" s="1"/>
  <c r="AO9" i="3" a="1"/>
  <c r="AO9" i="3" s="1"/>
  <c r="AO7" i="3" a="1"/>
  <c r="AO7" i="3" s="1"/>
  <c r="AM4" i="3" a="1"/>
  <c r="AM4" i="3" s="1"/>
  <c r="AO5" i="3" a="1"/>
  <c r="AO5" i="3" s="1"/>
  <c r="AU26" i="3" a="1"/>
  <c r="AU26" i="3" s="1"/>
  <c r="AT18" i="3" a="1"/>
  <c r="AT18" i="3" s="1"/>
  <c r="AS19" i="3" a="1"/>
  <c r="AS19" i="3" s="1"/>
  <c r="AU22" i="3" a="1"/>
  <c r="AU22" i="3" s="1"/>
  <c r="AU23" i="3" a="1"/>
  <c r="AU23" i="3" s="1"/>
  <c r="AT24" i="3" a="1"/>
  <c r="AT24" i="3" s="1"/>
  <c r="AS25" i="3" a="1"/>
  <c r="AS25" i="3" s="1"/>
  <c r="AU28" i="3" a="1"/>
  <c r="AU28" i="3" s="1"/>
  <c r="AU11" i="3" a="1"/>
  <c r="AU11" i="3" s="1"/>
  <c r="AS8" i="3" a="1"/>
  <c r="AS8" i="3" s="1"/>
  <c r="AS6" i="3" a="1"/>
  <c r="AS6" i="3" s="1"/>
  <c r="AS5" i="3" a="1"/>
  <c r="AS5" i="3" s="1"/>
  <c r="AS26" i="3" a="1"/>
  <c r="AS26" i="3" s="1"/>
  <c r="AU18" i="3" a="1"/>
  <c r="AU18" i="3" s="1"/>
  <c r="AT19" i="3" a="1"/>
  <c r="AT19" i="3" s="1"/>
  <c r="AU24" i="3" a="1"/>
  <c r="AU24" i="3" s="1"/>
  <c r="AT25" i="3" a="1"/>
  <c r="AT25" i="3" s="1"/>
  <c r="AS27" i="3" a="1"/>
  <c r="AS27" i="3" s="1"/>
  <c r="AU12" i="3" a="1"/>
  <c r="AU12" i="3" s="1"/>
  <c r="AT11" i="3" a="1"/>
  <c r="AT11" i="3" s="1"/>
  <c r="AU10" i="3" a="1"/>
  <c r="AU10" i="3" s="1"/>
  <c r="AU9" i="3" a="1"/>
  <c r="AU9" i="3" s="1"/>
  <c r="AU7" i="3" a="1"/>
  <c r="AU7" i="3" s="1"/>
  <c r="AS4" i="3" a="1"/>
  <c r="AS4" i="3" s="1"/>
  <c r="AS3" i="3" a="1"/>
  <c r="AS3" i="3" s="1"/>
  <c r="AT26" i="3" a="1"/>
  <c r="AT26" i="3" s="1"/>
  <c r="AU19" i="3" a="1"/>
  <c r="AU19" i="3" s="1"/>
  <c r="AS22" i="3" a="1"/>
  <c r="AS22" i="3" s="1"/>
  <c r="AS23" i="3" a="1"/>
  <c r="AS23" i="3" s="1"/>
  <c r="AU25" i="3" a="1"/>
  <c r="AU25" i="3" s="1"/>
  <c r="AT27" i="3" a="1"/>
  <c r="AT27" i="3" s="1"/>
  <c r="AS28" i="3" a="1"/>
  <c r="AS28" i="3" s="1"/>
  <c r="AT12" i="3" a="1"/>
  <c r="AT12" i="3" s="1"/>
  <c r="AS11" i="3" a="1"/>
  <c r="AS11" i="3" s="1"/>
  <c r="AT10" i="3" a="1"/>
  <c r="AT10" i="3" s="1"/>
  <c r="AT9" i="3" a="1"/>
  <c r="AT9" i="3" s="1"/>
  <c r="AU8" i="3" a="1"/>
  <c r="AU8" i="3" s="1"/>
  <c r="AT7" i="3" a="1"/>
  <c r="AT7" i="3" s="1"/>
  <c r="AU6" i="3" a="1"/>
  <c r="AU6" i="3" s="1"/>
  <c r="AU5" i="3" a="1"/>
  <c r="AU5" i="3" s="1"/>
  <c r="AU3" i="3" a="1"/>
  <c r="AU3" i="3" s="1"/>
  <c r="AT3" i="3" a="1"/>
  <c r="AT3" i="3" s="1"/>
  <c r="AT4" i="3" a="1"/>
  <c r="AT4" i="3" s="1"/>
  <c r="AS18" i="3" a="1"/>
  <c r="AS18" i="3" s="1"/>
  <c r="AT22" i="3" a="1"/>
  <c r="AT22" i="3" s="1"/>
  <c r="AT23" i="3" a="1"/>
  <c r="AT23" i="3" s="1"/>
  <c r="AS24" i="3" a="1"/>
  <c r="AS24" i="3" s="1"/>
  <c r="AU27" i="3" a="1"/>
  <c r="AU27" i="3" s="1"/>
  <c r="AT28" i="3" a="1"/>
  <c r="AT28" i="3" s="1"/>
  <c r="AS12" i="3" a="1"/>
  <c r="AS12" i="3" s="1"/>
  <c r="AS10" i="3" a="1"/>
  <c r="AS10" i="3" s="1"/>
  <c r="AS9" i="3" a="1"/>
  <c r="AS9" i="3" s="1"/>
  <c r="AT8" i="3" a="1"/>
  <c r="AT8" i="3" s="1"/>
  <c r="AS7" i="3" a="1"/>
  <c r="AS7" i="3" s="1"/>
  <c r="AT6" i="3" a="1"/>
  <c r="AT6" i="3" s="1"/>
  <c r="AT5" i="3" a="1"/>
  <c r="AT5" i="3" s="1"/>
  <c r="AU4" i="3" a="1"/>
  <c r="AU4" i="3" s="1"/>
  <c r="AH19" i="3" a="1"/>
  <c r="AH19" i="3" s="1"/>
  <c r="AH25" i="3" a="1"/>
  <c r="AH25" i="3" s="1"/>
  <c r="AH8" i="3" a="1"/>
  <c r="AH8" i="3" s="1"/>
  <c r="AH26" i="3" a="1"/>
  <c r="AH26" i="3" s="1"/>
  <c r="AH22" i="3" a="1"/>
  <c r="AH22" i="3" s="1"/>
  <c r="AH27" i="3" a="1"/>
  <c r="AH27" i="3" s="1"/>
  <c r="AH4" i="3" a="1"/>
  <c r="AH4" i="3" s="1"/>
  <c r="AH23" i="3" a="1"/>
  <c r="AH23" i="3" s="1"/>
  <c r="AH28" i="3" a="1"/>
  <c r="AH28" i="3" s="1"/>
  <c r="AH11" i="3" a="1"/>
  <c r="AH11" i="3" s="1"/>
  <c r="AH18" i="3" a="1"/>
  <c r="AH18" i="3" s="1"/>
  <c r="AH24" i="3" a="1"/>
  <c r="AH24" i="3" s="1"/>
  <c r="AH12" i="3" a="1"/>
  <c r="AH12" i="3" s="1"/>
  <c r="AH7" i="3" a="1"/>
  <c r="AH7" i="3" s="1"/>
  <c r="AH3" i="3" a="1"/>
  <c r="AH3" i="3" s="1"/>
  <c r="AP26" i="3" a="1"/>
  <c r="AP26" i="3" s="1"/>
  <c r="AP18" i="3" a="1"/>
  <c r="AP18" i="3" s="1"/>
  <c r="AQ22" i="3" a="1"/>
  <c r="AQ22" i="3" s="1"/>
  <c r="AQ23" i="3" a="1"/>
  <c r="AQ23" i="3" s="1"/>
  <c r="AP24" i="3" a="1"/>
  <c r="AP24" i="3" s="1"/>
  <c r="AR27" i="3" a="1"/>
  <c r="AR27" i="3" s="1"/>
  <c r="AQ28" i="3" a="1"/>
  <c r="AQ28" i="3" s="1"/>
  <c r="AR12" i="3" a="1"/>
  <c r="AR12" i="3" s="1"/>
  <c r="AQ11" i="3" a="1"/>
  <c r="AQ11" i="3" s="1"/>
  <c r="AR10" i="3" a="1"/>
  <c r="AR10" i="3" s="1"/>
  <c r="AR9" i="3" a="1"/>
  <c r="AR9" i="3" s="1"/>
  <c r="AR7" i="3" a="1"/>
  <c r="AR7" i="3" s="1"/>
  <c r="AQ18" i="3" a="1"/>
  <c r="AQ18" i="3" s="1"/>
  <c r="AP19" i="3" a="1"/>
  <c r="AP19" i="3" s="1"/>
  <c r="AR22" i="3" a="1"/>
  <c r="AR22" i="3" s="1"/>
  <c r="AR23" i="3" a="1"/>
  <c r="AR23" i="3" s="1"/>
  <c r="AQ24" i="3" a="1"/>
  <c r="AQ24" i="3" s="1"/>
  <c r="AP25" i="3" a="1"/>
  <c r="AP25" i="3" s="1"/>
  <c r="AR28" i="3" a="1"/>
  <c r="AR28" i="3" s="1"/>
  <c r="AQ12" i="3" a="1"/>
  <c r="AQ12" i="3" s="1"/>
  <c r="AP11" i="3" a="1"/>
  <c r="AP11" i="3" s="1"/>
  <c r="AQ10" i="3" a="1"/>
  <c r="AQ10" i="3" s="1"/>
  <c r="AQ9" i="3" a="1"/>
  <c r="AQ9" i="3" s="1"/>
  <c r="AR8" i="3" a="1"/>
  <c r="AR8" i="3" s="1"/>
  <c r="AQ7" i="3" a="1"/>
  <c r="AQ7" i="3" s="1"/>
  <c r="AR6" i="3" a="1"/>
  <c r="AR6" i="3" s="1"/>
  <c r="AR5" i="3" a="1"/>
  <c r="AR5" i="3" s="1"/>
  <c r="AR3" i="3" a="1"/>
  <c r="AR3" i="3" s="1"/>
  <c r="AP3" i="3" a="1"/>
  <c r="AP3" i="3" s="1"/>
  <c r="AQ26" i="3" a="1"/>
  <c r="AQ26" i="3" s="1"/>
  <c r="AR18" i="3" a="1"/>
  <c r="AR18" i="3" s="1"/>
  <c r="AQ19" i="3" a="1"/>
  <c r="AQ19" i="3" s="1"/>
  <c r="AP22" i="3" a="1"/>
  <c r="AP22" i="3" s="1"/>
  <c r="AR24" i="3" a="1"/>
  <c r="AR24" i="3" s="1"/>
  <c r="AQ25" i="3" a="1"/>
  <c r="AQ25" i="3" s="1"/>
  <c r="AP27" i="3" a="1"/>
  <c r="AP27" i="3" s="1"/>
  <c r="AP12" i="3" a="1"/>
  <c r="AP12" i="3" s="1"/>
  <c r="AP10" i="3" a="1"/>
  <c r="AP10" i="3" s="1"/>
  <c r="AP9" i="3" a="1"/>
  <c r="AP9" i="3" s="1"/>
  <c r="AQ8" i="3" a="1"/>
  <c r="AQ8" i="3" s="1"/>
  <c r="AP7" i="3" a="1"/>
  <c r="AP7" i="3" s="1"/>
  <c r="AQ6" i="3" a="1"/>
  <c r="AQ6" i="3" s="1"/>
  <c r="AQ5" i="3" a="1"/>
  <c r="AQ5" i="3" s="1"/>
  <c r="AR4" i="3" a="1"/>
  <c r="AR4" i="3" s="1"/>
  <c r="AQ3" i="3" a="1"/>
  <c r="AQ3" i="3" s="1"/>
  <c r="AR26" i="3" a="1"/>
  <c r="AR26" i="3" s="1"/>
  <c r="AR19" i="3" a="1"/>
  <c r="AR19" i="3" s="1"/>
  <c r="AP23" i="3" a="1"/>
  <c r="AP23" i="3" s="1"/>
  <c r="AR25" i="3" a="1"/>
  <c r="AR25" i="3" s="1"/>
  <c r="AQ27" i="3" a="1"/>
  <c r="AQ27" i="3" s="1"/>
  <c r="AP28" i="3" a="1"/>
  <c r="AP28" i="3" s="1"/>
  <c r="AR11" i="3" a="1"/>
  <c r="AR11" i="3" s="1"/>
  <c r="AP8" i="3" a="1"/>
  <c r="AP8" i="3" s="1"/>
  <c r="AP6" i="3" a="1"/>
  <c r="AP6" i="3" s="1"/>
  <c r="AP5" i="3" a="1"/>
  <c r="AP5" i="3" s="1"/>
  <c r="AQ4" i="3" a="1"/>
  <c r="AQ4" i="3" s="1"/>
  <c r="AP4" i="3" a="1"/>
  <c r="AP4" i="3" s="1"/>
  <c r="AD1" i="2"/>
  <c r="K74" i="1"/>
  <c r="K73" i="1"/>
  <c r="AU1" i="3"/>
  <c r="V1" i="3"/>
  <c r="AR1" i="3"/>
  <c r="S1" i="3"/>
  <c r="AO1" i="3"/>
  <c r="P1" i="3"/>
  <c r="AL1" i="3"/>
  <c r="I1" i="3"/>
  <c r="AI1" i="3"/>
  <c r="BE1" i="3"/>
  <c r="AE1" i="3"/>
  <c r="BA1" i="3"/>
  <c r="AB1" i="3"/>
  <c r="AX1" i="3"/>
  <c r="Y1" i="3"/>
  <c r="O6" i="4"/>
  <c r="P14" i="4"/>
  <c r="T14" i="4" s="1"/>
  <c r="U14" i="4" s="1"/>
  <c r="P7" i="4"/>
  <c r="R7" i="4" s="1"/>
  <c r="S7" i="4" s="1"/>
  <c r="O7" i="4"/>
  <c r="O11" i="4"/>
  <c r="O19" i="4"/>
  <c r="P6" i="4"/>
  <c r="R6" i="4" s="1"/>
  <c r="S6" i="4" s="1"/>
  <c r="O20" i="4"/>
  <c r="P15" i="4"/>
  <c r="R15" i="4" s="1"/>
  <c r="S15" i="4" s="1"/>
  <c r="P10" i="4"/>
  <c r="T10" i="4" s="1"/>
  <c r="U10" i="4" s="1"/>
  <c r="O16" i="4"/>
  <c r="P19" i="4"/>
  <c r="R19" i="4" s="1"/>
  <c r="S19" i="4" s="1"/>
  <c r="O13" i="4"/>
  <c r="O9" i="4"/>
  <c r="F21" i="4"/>
  <c r="P20" i="4"/>
  <c r="R20" i="4" s="1"/>
  <c r="S20" i="4" s="1"/>
  <c r="P18" i="4"/>
  <c r="T18" i="4" s="1"/>
  <c r="U18" i="4" s="1"/>
  <c r="O15" i="4"/>
  <c r="O14" i="4"/>
  <c r="P11" i="4"/>
  <c r="R11" i="4" s="1"/>
  <c r="S11" i="4" s="1"/>
  <c r="O8" i="4"/>
  <c r="O17" i="4"/>
  <c r="O12" i="4"/>
  <c r="J21" i="4"/>
  <c r="N21" i="4"/>
  <c r="O10" i="4"/>
  <c r="O4" i="4"/>
  <c r="P17" i="4"/>
  <c r="P13" i="4"/>
  <c r="P9" i="4"/>
  <c r="P5" i="4"/>
  <c r="O5" i="4"/>
  <c r="P16" i="4"/>
  <c r="P12" i="4"/>
  <c r="P8" i="4"/>
  <c r="P4" i="4"/>
  <c r="AC74" i="1"/>
  <c r="BC74" i="1"/>
  <c r="BC75" i="1" s="1"/>
  <c r="AH64" i="1"/>
  <c r="AL4" i="3" s="1" a="1"/>
  <c r="AL4" i="3" s="1"/>
  <c r="L64" i="1"/>
  <c r="P18" i="3" s="1" a="1"/>
  <c r="P18" i="3" s="1"/>
  <c r="AL20" i="3" l="1" a="1"/>
  <c r="AL20" i="3" s="1"/>
  <c r="BE21" i="3" a="1"/>
  <c r="BE21" i="3" s="1"/>
  <c r="AL21" i="3" a="1"/>
  <c r="AL21" i="3" s="1"/>
  <c r="BE20" i="3" a="1"/>
  <c r="BE20" i="3" s="1"/>
  <c r="P20" i="3" a="1"/>
  <c r="P20" i="3" s="1"/>
  <c r="P21" i="3" a="1"/>
  <c r="P21" i="3" s="1"/>
  <c r="P10" i="3" a="1"/>
  <c r="P10" i="3" s="1"/>
  <c r="P25" i="3" a="1"/>
  <c r="P25" i="3" s="1"/>
  <c r="P11" i="3" a="1"/>
  <c r="P11" i="3" s="1"/>
  <c r="P22" i="3" a="1"/>
  <c r="P22" i="3" s="1"/>
  <c r="P6" i="3" a="1"/>
  <c r="P6" i="3" s="1"/>
  <c r="P3" i="3" a="1"/>
  <c r="P3" i="3" s="1"/>
  <c r="P19" i="3" a="1"/>
  <c r="P19" i="3" s="1"/>
  <c r="P12" i="3" a="1"/>
  <c r="P12" i="3" s="1"/>
  <c r="P24" i="3" a="1"/>
  <c r="P24" i="3" s="1"/>
  <c r="P26" i="3" a="1"/>
  <c r="P26" i="3" s="1"/>
  <c r="P28" i="3" a="1"/>
  <c r="P28" i="3" s="1"/>
  <c r="P8" i="3" a="1"/>
  <c r="P8" i="3" s="1"/>
  <c r="P23" i="3" a="1"/>
  <c r="P23" i="3" s="1"/>
  <c r="P5" i="3" a="1"/>
  <c r="P5" i="3" s="1"/>
  <c r="P7" i="3" a="1"/>
  <c r="P7" i="3" s="1"/>
  <c r="P4" i="3" a="1"/>
  <c r="P4" i="3" s="1"/>
  <c r="P9" i="3" a="1"/>
  <c r="P9" i="3" s="1"/>
  <c r="P27" i="3" a="1"/>
  <c r="P27" i="3" s="1"/>
  <c r="AL6" i="3" a="1"/>
  <c r="AL6" i="3" s="1"/>
  <c r="AL7" i="3" a="1"/>
  <c r="AL7" i="3" s="1"/>
  <c r="AL27" i="3" a="1"/>
  <c r="AL27" i="3" s="1"/>
  <c r="AL11" i="3" a="1"/>
  <c r="AL11" i="3" s="1"/>
  <c r="AL24" i="3" a="1"/>
  <c r="AL24" i="3" s="1"/>
  <c r="BE7" i="3" a="1"/>
  <c r="BE7" i="3" s="1"/>
  <c r="BE18" i="3" a="1"/>
  <c r="BE18" i="3" s="1"/>
  <c r="BE8" i="3" a="1"/>
  <c r="BE8" i="3" s="1"/>
  <c r="AL8" i="3" a="1"/>
  <c r="AL8" i="3" s="1"/>
  <c r="AL9" i="3" a="1"/>
  <c r="AL9" i="3" s="1"/>
  <c r="AL22" i="3" a="1"/>
  <c r="AL22" i="3" s="1"/>
  <c r="AL25" i="3" a="1"/>
  <c r="AL25" i="3" s="1"/>
  <c r="BE12" i="3" a="1"/>
  <c r="BE12" i="3" s="1"/>
  <c r="BE11" i="3" a="1"/>
  <c r="BE11" i="3" s="1"/>
  <c r="BE26" i="3" a="1"/>
  <c r="BE26" i="3" s="1"/>
  <c r="BE25" i="3" a="1"/>
  <c r="BE25" i="3" s="1"/>
  <c r="AL3" i="3" a="1"/>
  <c r="AL3" i="3" s="1"/>
  <c r="AL28" i="3" a="1"/>
  <c r="AL28" i="3" s="1"/>
  <c r="AL10" i="3" a="1"/>
  <c r="AL10" i="3" s="1"/>
  <c r="AL19" i="3" a="1"/>
  <c r="AL19" i="3" s="1"/>
  <c r="AL18" i="3" a="1"/>
  <c r="AL18" i="3" s="1"/>
  <c r="BE24" i="3" a="1"/>
  <c r="BE24" i="3" s="1"/>
  <c r="BE28" i="3" a="1"/>
  <c r="BE28" i="3" s="1"/>
  <c r="BE4" i="3" a="1"/>
  <c r="BE4" i="3" s="1"/>
  <c r="AL5" i="3" a="1"/>
  <c r="AL5" i="3" s="1"/>
  <c r="AL23" i="3" a="1"/>
  <c r="AL23" i="3" s="1"/>
  <c r="AL12" i="3" a="1"/>
  <c r="AL12" i="3" s="1"/>
  <c r="AL26" i="3" a="1"/>
  <c r="AL26" i="3" s="1"/>
  <c r="BE3" i="3" a="1"/>
  <c r="BE3" i="3" s="1"/>
  <c r="BE22" i="3" a="1"/>
  <c r="BE22" i="3" s="1"/>
  <c r="BE23" i="3" a="1"/>
  <c r="BE23" i="3" s="1"/>
  <c r="BE27" i="3" a="1"/>
  <c r="BE27" i="3" s="1"/>
  <c r="BE19" i="3" a="1"/>
  <c r="BE19" i="3" s="1"/>
  <c r="AY75" i="1"/>
  <c r="AE1" i="2"/>
  <c r="J26" i="3" a="1"/>
  <c r="J26" i="3" s="1"/>
  <c r="K75" i="1"/>
  <c r="M18" i="3" s="1" a="1"/>
  <c r="M18" i="3" s="1"/>
  <c r="T19" i="4"/>
  <c r="U19" i="4" s="1"/>
  <c r="V19" i="4" s="1"/>
  <c r="R18" i="4"/>
  <c r="S18" i="4" s="1"/>
  <c r="V18" i="4" s="1"/>
  <c r="R14" i="4"/>
  <c r="S14" i="4" s="1"/>
  <c r="V14" i="4" s="1"/>
  <c r="T7" i="4"/>
  <c r="U7" i="4" s="1"/>
  <c r="V7" i="4" s="1"/>
  <c r="T15" i="4"/>
  <c r="U15" i="4" s="1"/>
  <c r="V15" i="4" s="1"/>
  <c r="R10" i="4"/>
  <c r="S10" i="4" s="1"/>
  <c r="V10" i="4" s="1"/>
  <c r="AC75" i="1"/>
  <c r="T6" i="4"/>
  <c r="U6" i="4" s="1"/>
  <c r="V6" i="4" s="1"/>
  <c r="T11" i="4"/>
  <c r="U11" i="4" s="1"/>
  <c r="V11" i="4" s="1"/>
  <c r="T20" i="4"/>
  <c r="U20" i="4" s="1"/>
  <c r="V20" i="4" s="1"/>
  <c r="AG75" i="1"/>
  <c r="AI21" i="3" s="1" a="1"/>
  <c r="AI21" i="3" s="1"/>
  <c r="R12" i="4"/>
  <c r="S12" i="4" s="1"/>
  <c r="T12" i="4"/>
  <c r="U12" i="4" s="1"/>
  <c r="T17" i="4"/>
  <c r="U17" i="4" s="1"/>
  <c r="R17" i="4"/>
  <c r="S17" i="4" s="1"/>
  <c r="T13" i="4"/>
  <c r="U13" i="4" s="1"/>
  <c r="R13" i="4"/>
  <c r="S13" i="4" s="1"/>
  <c r="R16" i="4"/>
  <c r="S16" i="4" s="1"/>
  <c r="T16" i="4"/>
  <c r="U16" i="4" s="1"/>
  <c r="R4" i="4"/>
  <c r="S4" i="4" s="1"/>
  <c r="T4" i="4"/>
  <c r="U4" i="4" s="1"/>
  <c r="T5" i="4"/>
  <c r="U5" i="4" s="1"/>
  <c r="P21" i="4"/>
  <c r="R5" i="4"/>
  <c r="S5" i="4" s="1"/>
  <c r="R8" i="4"/>
  <c r="S8" i="4" s="1"/>
  <c r="T8" i="4"/>
  <c r="U8" i="4" s="1"/>
  <c r="T9" i="4"/>
  <c r="U9" i="4" s="1"/>
  <c r="R9" i="4"/>
  <c r="S9" i="4" s="1"/>
  <c r="J8" i="3" l="1" a="1"/>
  <c r="J8" i="3" s="1"/>
  <c r="K11" i="3" a="1"/>
  <c r="K11" i="3" s="1"/>
  <c r="J7" i="3" a="1"/>
  <c r="J7" i="3" s="1"/>
  <c r="I27" i="3" a="1"/>
  <c r="I27" i="3" s="1"/>
  <c r="K24" i="3" a="1"/>
  <c r="K24" i="3" s="1"/>
  <c r="J25" i="3" a="1"/>
  <c r="J25" i="3" s="1"/>
  <c r="I11" i="3" a="1"/>
  <c r="I11" i="3" s="1"/>
  <c r="J27" i="3" a="1"/>
  <c r="J27" i="3" s="1"/>
  <c r="K21" i="3" a="1"/>
  <c r="K21" i="3" s="1"/>
  <c r="K18" i="3" a="1"/>
  <c r="K18" i="3" s="1"/>
  <c r="J4" i="3" a="1"/>
  <c r="J4" i="3" s="1"/>
  <c r="I3" i="3" a="1"/>
  <c r="I3" i="3" s="1"/>
  <c r="K23" i="3" a="1"/>
  <c r="K23" i="3" s="1"/>
  <c r="J19" i="3" a="1"/>
  <c r="J19" i="3" s="1"/>
  <c r="I28" i="3" a="1"/>
  <c r="I28" i="3" s="1"/>
  <c r="J28" i="3" a="1"/>
  <c r="J28" i="3" s="1"/>
  <c r="I24" i="3" a="1"/>
  <c r="I24" i="3" s="1"/>
  <c r="K8" i="3" a="1"/>
  <c r="K8" i="3" s="1"/>
  <c r="J24" i="3" a="1"/>
  <c r="J24" i="3" s="1"/>
  <c r="I19" i="3" a="1"/>
  <c r="I19" i="3" s="1"/>
  <c r="K22" i="3" a="1"/>
  <c r="K22" i="3" s="1"/>
  <c r="K12" i="3" a="1"/>
  <c r="K12" i="3" s="1"/>
  <c r="J12" i="3" a="1"/>
  <c r="J12" i="3" s="1"/>
  <c r="I12" i="3" a="1"/>
  <c r="I12" i="3" s="1"/>
  <c r="K7" i="3" a="1"/>
  <c r="K7" i="3" s="1"/>
  <c r="J23" i="3" a="1"/>
  <c r="J23" i="3" s="1"/>
  <c r="I20" i="3" a="1"/>
  <c r="I20" i="3" s="1"/>
  <c r="K20" i="3" a="1"/>
  <c r="K20" i="3" s="1"/>
  <c r="J18" i="3" a="1"/>
  <c r="J18" i="3" s="1"/>
  <c r="I4" i="3" a="1"/>
  <c r="I4" i="3" s="1"/>
  <c r="K27" i="3" a="1"/>
  <c r="K27" i="3" s="1"/>
  <c r="J21" i="3" a="1"/>
  <c r="J21" i="3" s="1"/>
  <c r="I21" i="3" a="1"/>
  <c r="I21" i="3" s="1"/>
  <c r="K25" i="3" a="1"/>
  <c r="K25" i="3" s="1"/>
  <c r="K4" i="3" a="1"/>
  <c r="K4" i="3" s="1"/>
  <c r="J11" i="3" a="1"/>
  <c r="J11" i="3" s="1"/>
  <c r="I25" i="3" a="1"/>
  <c r="I25" i="3" s="1"/>
  <c r="K28" i="3" a="1"/>
  <c r="K28" i="3" s="1"/>
  <c r="J20" i="3" a="1"/>
  <c r="J20" i="3" s="1"/>
  <c r="I8" i="3" a="1"/>
  <c r="I8" i="3" s="1"/>
  <c r="K19" i="3" a="1"/>
  <c r="K19" i="3" s="1"/>
  <c r="J3" i="3" a="1"/>
  <c r="J3" i="3" s="1"/>
  <c r="I23" i="3" a="1"/>
  <c r="I23" i="3" s="1"/>
  <c r="K3" i="3" a="1"/>
  <c r="K3" i="3" s="1"/>
  <c r="J22" i="3" a="1"/>
  <c r="J22" i="3" s="1"/>
  <c r="I7" i="3" a="1"/>
  <c r="I7" i="3" s="1"/>
  <c r="K26" i="3" a="1"/>
  <c r="K26" i="3" s="1"/>
  <c r="BA21" i="3" a="1"/>
  <c r="BA21" i="3" s="1"/>
  <c r="BA27" i="3" a="1"/>
  <c r="BA27" i="3" s="1"/>
  <c r="BA20" i="3" a="1"/>
  <c r="BA20" i="3" s="1"/>
  <c r="BA18" i="3" a="1"/>
  <c r="BA18" i="3" s="1"/>
  <c r="BA4" i="3" a="1"/>
  <c r="BA4" i="3" s="1"/>
  <c r="BB24" i="3" a="1"/>
  <c r="BB24" i="3" s="1"/>
  <c r="BB21" i="3" a="1"/>
  <c r="BB21" i="3" s="1"/>
  <c r="BB27" i="3" a="1"/>
  <c r="BB27" i="3" s="1"/>
  <c r="BB20" i="3" a="1"/>
  <c r="BB20" i="3" s="1"/>
  <c r="BC20" i="3" a="1"/>
  <c r="BC20" i="3" s="1"/>
  <c r="BC8" i="3" a="1"/>
  <c r="BC8" i="3" s="1"/>
  <c r="BC19" i="3" a="1"/>
  <c r="BC19" i="3" s="1"/>
  <c r="BC22" i="3" a="1"/>
  <c r="BC22" i="3" s="1"/>
  <c r="BC7" i="3" a="1"/>
  <c r="BC7" i="3" s="1"/>
  <c r="BA19" i="3" a="1"/>
  <c r="BA19" i="3" s="1"/>
  <c r="BA11" i="3" a="1"/>
  <c r="BA11" i="3" s="1"/>
  <c r="BA24" i="3" a="1"/>
  <c r="BA24" i="3" s="1"/>
  <c r="BB11" i="3" a="1"/>
  <c r="BB11" i="3" s="1"/>
  <c r="BB19" i="3" a="1"/>
  <c r="BB19" i="3" s="1"/>
  <c r="BB12" i="3" a="1"/>
  <c r="BB12" i="3" s="1"/>
  <c r="BB26" i="3" a="1"/>
  <c r="BB26" i="3" s="1"/>
  <c r="BC26" i="3" a="1"/>
  <c r="BC26" i="3" s="1"/>
  <c r="BC28" i="3" a="1"/>
  <c r="BC28" i="3" s="1"/>
  <c r="BC24" i="3" a="1"/>
  <c r="BC24" i="3" s="1"/>
  <c r="BC4" i="3" a="1"/>
  <c r="BC4" i="3" s="1"/>
  <c r="BC3" i="3" a="1"/>
  <c r="BC3" i="3" s="1"/>
  <c r="BA25" i="3" a="1"/>
  <c r="BA25" i="3" s="1"/>
  <c r="BA7" i="3" a="1"/>
  <c r="BA7" i="3" s="1"/>
  <c r="BA23" i="3" a="1"/>
  <c r="BA23" i="3" s="1"/>
  <c r="BA12" i="3" a="1"/>
  <c r="BA12" i="3" s="1"/>
  <c r="BB7" i="3" a="1"/>
  <c r="BB7" i="3" s="1"/>
  <c r="BB25" i="3" a="1"/>
  <c r="BB25" i="3" s="1"/>
  <c r="BB8" i="3" a="1"/>
  <c r="BB8" i="3" s="1"/>
  <c r="BB23" i="3" a="1"/>
  <c r="BB23" i="3" s="1"/>
  <c r="BC21" i="3" a="1"/>
  <c r="BC21" i="3" s="1"/>
  <c r="BC25" i="3" a="1"/>
  <c r="BC25" i="3" s="1"/>
  <c r="BC27" i="3" a="1"/>
  <c r="BC27" i="3" s="1"/>
  <c r="BA22" i="3" a="1"/>
  <c r="BA22" i="3" s="1"/>
  <c r="BA3" i="3" a="1"/>
  <c r="BA3" i="3" s="1"/>
  <c r="BA28" i="3" a="1"/>
  <c r="BA28" i="3" s="1"/>
  <c r="BA8" i="3" a="1"/>
  <c r="BA8" i="3" s="1"/>
  <c r="BB18" i="3" a="1"/>
  <c r="BB18" i="3" s="1"/>
  <c r="BB3" i="3" a="1"/>
  <c r="BB3" i="3" s="1"/>
  <c r="BB22" i="3" a="1"/>
  <c r="BB22" i="3" s="1"/>
  <c r="BB4" i="3" a="1"/>
  <c r="BB4" i="3" s="1"/>
  <c r="BB28" i="3" a="1"/>
  <c r="BB28" i="3" s="1"/>
  <c r="BC23" i="3" a="1"/>
  <c r="BC23" i="3" s="1"/>
  <c r="BC18" i="3" a="1"/>
  <c r="BC18" i="3" s="1"/>
  <c r="BC12" i="3" a="1"/>
  <c r="BC12" i="3" s="1"/>
  <c r="BC11" i="3" a="1"/>
  <c r="BC11" i="3" s="1"/>
  <c r="AF21" i="3" a="1"/>
  <c r="AF21" i="3" s="1"/>
  <c r="AE27" i="3" a="1"/>
  <c r="AE27" i="3" s="1"/>
  <c r="AE8" i="3" a="1"/>
  <c r="AE8" i="3" s="1"/>
  <c r="AF22" i="3" a="1"/>
  <c r="AF22" i="3" s="1"/>
  <c r="AF7" i="3" a="1"/>
  <c r="AF7" i="3" s="1"/>
  <c r="AF19" i="3" a="1"/>
  <c r="AF19" i="3" s="1"/>
  <c r="AF18" i="3" a="1"/>
  <c r="AF18" i="3" s="1"/>
  <c r="AF4" i="3" a="1"/>
  <c r="AF4" i="3" s="1"/>
  <c r="AF26" i="3" a="1"/>
  <c r="AF26" i="3" s="1"/>
  <c r="AF28" i="3" a="1"/>
  <c r="AF28" i="3" s="1"/>
  <c r="AE7" i="3" a="1"/>
  <c r="AE7" i="3" s="1"/>
  <c r="AE25" i="3" a="1"/>
  <c r="AE25" i="3" s="1"/>
  <c r="AE23" i="3" a="1"/>
  <c r="AE23" i="3" s="1"/>
  <c r="AF3" i="3" a="1"/>
  <c r="AF3" i="3" s="1"/>
  <c r="AE24" i="3" a="1"/>
  <c r="AE24" i="3" s="1"/>
  <c r="AF24" i="3" a="1"/>
  <c r="AF24" i="3" s="1"/>
  <c r="AE22" i="3" a="1"/>
  <c r="AE22" i="3" s="1"/>
  <c r="AE12" i="3" a="1"/>
  <c r="AE12" i="3" s="1"/>
  <c r="AE4" i="3" a="1"/>
  <c r="AE4" i="3" s="1"/>
  <c r="AF27" i="3" a="1"/>
  <c r="AF27" i="3" s="1"/>
  <c r="AE28" i="3" a="1"/>
  <c r="AE28" i="3" s="1"/>
  <c r="AE20" i="3" a="1"/>
  <c r="AE20" i="3" s="1"/>
  <c r="AF25" i="3" a="1"/>
  <c r="AF25" i="3" s="1"/>
  <c r="AF12" i="3" a="1"/>
  <c r="AF12" i="3" s="1"/>
  <c r="AF8" i="3" a="1"/>
  <c r="AF8" i="3" s="1"/>
  <c r="AF23" i="3" a="1"/>
  <c r="AF23" i="3" s="1"/>
  <c r="AE11" i="3" a="1"/>
  <c r="AE11" i="3" s="1"/>
  <c r="AE19" i="3" a="1"/>
  <c r="AE19" i="3" s="1"/>
  <c r="AF20" i="3" a="1"/>
  <c r="AF20" i="3" s="1"/>
  <c r="AF11" i="3" a="1"/>
  <c r="AF11" i="3" s="1"/>
  <c r="AE18" i="3" a="1"/>
  <c r="AE18" i="3" s="1"/>
  <c r="AE21" i="3" a="1"/>
  <c r="AE21" i="3" s="1"/>
  <c r="AE3" i="3" a="1"/>
  <c r="AE3" i="3" s="1"/>
  <c r="AG21" i="3" a="1"/>
  <c r="AG21" i="3" s="1"/>
  <c r="AG12" i="3" a="1"/>
  <c r="AG12" i="3" s="1"/>
  <c r="AG8" i="3" a="1"/>
  <c r="AG8" i="3" s="1"/>
  <c r="AG4" i="3" a="1"/>
  <c r="AG4" i="3" s="1"/>
  <c r="AG23" i="3" a="1"/>
  <c r="AG23" i="3" s="1"/>
  <c r="AG20" i="3" a="1"/>
  <c r="AG20" i="3" s="1"/>
  <c r="AG7" i="3" a="1"/>
  <c r="AG7" i="3" s="1"/>
  <c r="AG3" i="3" a="1"/>
  <c r="AG3" i="3" s="1"/>
  <c r="AG19" i="3" a="1"/>
  <c r="AG19" i="3" s="1"/>
  <c r="AG11" i="3" a="1"/>
  <c r="AG11" i="3" s="1"/>
  <c r="AG26" i="3" a="1"/>
  <c r="AG26" i="3" s="1"/>
  <c r="AG27" i="3" a="1"/>
  <c r="AG27" i="3" s="1"/>
  <c r="AG28" i="3" a="1"/>
  <c r="AG28" i="3" s="1"/>
  <c r="AG18" i="3" a="1"/>
  <c r="AG18" i="3" s="1"/>
  <c r="AG25" i="3" a="1"/>
  <c r="AG25" i="3" s="1"/>
  <c r="AG22" i="3" a="1"/>
  <c r="AG22" i="3" s="1"/>
  <c r="AG24" i="3" a="1"/>
  <c r="AG24" i="3" s="1"/>
  <c r="O21" i="3" a="1"/>
  <c r="O21" i="3" s="1"/>
  <c r="AI20" i="3" a="1"/>
  <c r="AI20" i="3" s="1"/>
  <c r="AJ21" i="3" a="1"/>
  <c r="AJ21" i="3" s="1"/>
  <c r="AJ20" i="3" a="1"/>
  <c r="AJ20" i="3" s="1"/>
  <c r="AK21" i="3" a="1"/>
  <c r="AK21" i="3" s="1"/>
  <c r="AK20" i="3" a="1"/>
  <c r="AK20" i="3" s="1"/>
  <c r="O20" i="3" a="1"/>
  <c r="O20" i="3" s="1"/>
  <c r="M21" i="3" a="1"/>
  <c r="M21" i="3" s="1"/>
  <c r="N20" i="3" a="1"/>
  <c r="N20" i="3" s="1"/>
  <c r="N21" i="3" a="1"/>
  <c r="N21" i="3" s="1"/>
  <c r="M20" i="3" a="1"/>
  <c r="M20" i="3" s="1"/>
  <c r="N26" i="3" a="1"/>
  <c r="N26" i="3" s="1"/>
  <c r="O3" i="3" a="1"/>
  <c r="O3" i="3" s="1"/>
  <c r="M4" i="3" a="1"/>
  <c r="M4" i="3" s="1"/>
  <c r="N24" i="3" a="1"/>
  <c r="N24" i="3" s="1"/>
  <c r="O24" i="3" a="1"/>
  <c r="O24" i="3" s="1"/>
  <c r="M26" i="3" a="1"/>
  <c r="M26" i="3" s="1"/>
  <c r="M7" i="3" a="1"/>
  <c r="M7" i="3" s="1"/>
  <c r="N10" i="3" a="1"/>
  <c r="N10" i="3" s="1"/>
  <c r="O5" i="3" a="1"/>
  <c r="O5" i="3" s="1"/>
  <c r="N5" i="3" a="1"/>
  <c r="N5" i="3" s="1"/>
  <c r="N3" i="3" a="1"/>
  <c r="N3" i="3" s="1"/>
  <c r="N28" i="3" a="1"/>
  <c r="N28" i="3" s="1"/>
  <c r="O22" i="3" a="1"/>
  <c r="O22" i="3" s="1"/>
  <c r="N27" i="3" a="1"/>
  <c r="N27" i="3" s="1"/>
  <c r="N18" i="3" a="1"/>
  <c r="N18" i="3" s="1"/>
  <c r="N4" i="3" a="1"/>
  <c r="N4" i="3" s="1"/>
  <c r="M22" i="3" a="1"/>
  <c r="M22" i="3" s="1"/>
  <c r="O11" i="3" a="1"/>
  <c r="O11" i="3" s="1"/>
  <c r="O10" i="3" a="1"/>
  <c r="O10" i="3" s="1"/>
  <c r="M19" i="3" a="1"/>
  <c r="M19" i="3" s="1"/>
  <c r="M25" i="3" a="1"/>
  <c r="M25" i="3" s="1"/>
  <c r="M27" i="3" a="1"/>
  <c r="M27" i="3" s="1"/>
  <c r="N8" i="3" a="1"/>
  <c r="N8" i="3" s="1"/>
  <c r="O12" i="3" a="1"/>
  <c r="O12" i="3" s="1"/>
  <c r="N19" i="3" a="1"/>
  <c r="N19" i="3" s="1"/>
  <c r="O19" i="3" a="1"/>
  <c r="O19" i="3" s="1"/>
  <c r="N23" i="3" a="1"/>
  <c r="N23" i="3" s="1"/>
  <c r="O23" i="3" a="1"/>
  <c r="O23" i="3" s="1"/>
  <c r="M11" i="3" a="1"/>
  <c r="M11" i="3" s="1"/>
  <c r="M28" i="3" a="1"/>
  <c r="M28" i="3" s="1"/>
  <c r="N12" i="3" a="1"/>
  <c r="N12" i="3" s="1"/>
  <c r="O6" i="3" a="1"/>
  <c r="O6" i="3" s="1"/>
  <c r="N6" i="3" a="1"/>
  <c r="N6" i="3" s="1"/>
  <c r="O4" i="3" a="1"/>
  <c r="O4" i="3" s="1"/>
  <c r="M24" i="3" a="1"/>
  <c r="M24" i="3" s="1"/>
  <c r="O27" i="3" a="1"/>
  <c r="O27" i="3" s="1"/>
  <c r="M8" i="3" a="1"/>
  <c r="M8" i="3" s="1"/>
  <c r="N22" i="3" a="1"/>
  <c r="N22" i="3" s="1"/>
  <c r="N7" i="3" a="1"/>
  <c r="N7" i="3" s="1"/>
  <c r="O25" i="3" a="1"/>
  <c r="O25" i="3" s="1"/>
  <c r="O8" i="3" a="1"/>
  <c r="O8" i="3" s="1"/>
  <c r="N9" i="3" a="1"/>
  <c r="N9" i="3" s="1"/>
  <c r="O26" i="3" a="1"/>
  <c r="O26" i="3" s="1"/>
  <c r="O28" i="3" a="1"/>
  <c r="O28" i="3" s="1"/>
  <c r="N11" i="3" a="1"/>
  <c r="N11" i="3" s="1"/>
  <c r="M23" i="3" a="1"/>
  <c r="M23" i="3" s="1"/>
  <c r="M3" i="3" a="1"/>
  <c r="M3" i="3" s="1"/>
  <c r="O7" i="3" a="1"/>
  <c r="O7" i="3" s="1"/>
  <c r="O18" i="3" a="1"/>
  <c r="O18" i="3" s="1"/>
  <c r="M12" i="3" a="1"/>
  <c r="M12" i="3" s="1"/>
  <c r="N25" i="3" a="1"/>
  <c r="N25" i="3" s="1"/>
  <c r="O9" i="3" a="1"/>
  <c r="O9" i="3" s="1"/>
  <c r="AJ26" i="3" a="1"/>
  <c r="AJ26" i="3" s="1"/>
  <c r="AJ24" i="3" a="1"/>
  <c r="AJ24" i="3" s="1"/>
  <c r="AI12" i="3" a="1"/>
  <c r="AI12" i="3" s="1"/>
  <c r="AI8" i="3" a="1"/>
  <c r="AI8" i="3" s="1"/>
  <c r="AI23" i="3" a="1"/>
  <c r="AI23" i="3" s="1"/>
  <c r="AI19" i="3" a="1"/>
  <c r="AI19" i="3" s="1"/>
  <c r="AK24" i="3" a="1"/>
  <c r="AK24" i="3" s="1"/>
  <c r="AJ11" i="3" a="1"/>
  <c r="AJ11" i="3" s="1"/>
  <c r="AK4" i="3" a="1"/>
  <c r="AK4" i="3" s="1"/>
  <c r="AI24" i="3" a="1"/>
  <c r="AI24" i="3" s="1"/>
  <c r="AK26" i="3" a="1"/>
  <c r="AK26" i="3" s="1"/>
  <c r="AK8" i="3" a="1"/>
  <c r="AK8" i="3" s="1"/>
  <c r="AI26" i="3" a="1"/>
  <c r="AI26" i="3" s="1"/>
  <c r="AI25" i="3" a="1"/>
  <c r="AI25" i="3" s="1"/>
  <c r="AK3" i="3" a="1"/>
  <c r="AK3" i="3" s="1"/>
  <c r="AJ25" i="3" a="1"/>
  <c r="AJ25" i="3" s="1"/>
  <c r="AK11" i="3" a="1"/>
  <c r="AK11" i="3" s="1"/>
  <c r="AK7" i="3" a="1"/>
  <c r="AK7" i="3" s="1"/>
  <c r="AI27" i="3" a="1"/>
  <c r="AI27" i="3" s="1"/>
  <c r="AK25" i="3" a="1"/>
  <c r="AK25" i="3" s="1"/>
  <c r="AJ10" i="3" a="1"/>
  <c r="AJ10" i="3" s="1"/>
  <c r="AI3" i="3" a="1"/>
  <c r="AI3" i="3" s="1"/>
  <c r="AI28" i="3" a="1"/>
  <c r="AI28" i="3" s="1"/>
  <c r="AJ18" i="3" a="1"/>
  <c r="AJ18" i="3" s="1"/>
  <c r="AK12" i="3" a="1"/>
  <c r="AK12" i="3" s="1"/>
  <c r="AI7" i="3" a="1"/>
  <c r="AI7" i="3" s="1"/>
  <c r="AK19" i="3" a="1"/>
  <c r="AK19" i="3" s="1"/>
  <c r="AJ12" i="3" a="1"/>
  <c r="AJ12" i="3" s="1"/>
  <c r="AJ22" i="3" a="1"/>
  <c r="AJ22" i="3" s="1"/>
  <c r="AJ27" i="3" a="1"/>
  <c r="AJ27" i="3" s="1"/>
  <c r="AK10" i="3" a="1"/>
  <c r="AK10" i="3" s="1"/>
  <c r="AK6" i="3" a="1"/>
  <c r="AK6" i="3" s="1"/>
  <c r="AJ5" i="3" a="1"/>
  <c r="AJ5" i="3" s="1"/>
  <c r="AK22" i="3" a="1"/>
  <c r="AK22" i="3" s="1"/>
  <c r="AK27" i="3" a="1"/>
  <c r="AK27" i="3" s="1"/>
  <c r="AJ7" i="3" a="1"/>
  <c r="AJ7" i="3" s="1"/>
  <c r="AK18" i="3" a="1"/>
  <c r="AK18" i="3" s="1"/>
  <c r="AJ8" i="3" a="1"/>
  <c r="AJ8" i="3" s="1"/>
  <c r="AJ19" i="3" a="1"/>
  <c r="AJ19" i="3" s="1"/>
  <c r="AI11" i="3" a="1"/>
  <c r="AI11" i="3" s="1"/>
  <c r="AK5" i="3" a="1"/>
  <c r="AK5" i="3" s="1"/>
  <c r="AJ23" i="3" a="1"/>
  <c r="AJ23" i="3" s="1"/>
  <c r="AJ28" i="3" a="1"/>
  <c r="AJ28" i="3" s="1"/>
  <c r="AJ9" i="3" a="1"/>
  <c r="AJ9" i="3" s="1"/>
  <c r="AJ3" i="3" a="1"/>
  <c r="AJ3" i="3" s="1"/>
  <c r="AI18" i="3" a="1"/>
  <c r="AI18" i="3" s="1"/>
  <c r="AK23" i="3" a="1"/>
  <c r="AK23" i="3" s="1"/>
  <c r="AK28" i="3" a="1"/>
  <c r="AK28" i="3" s="1"/>
  <c r="AJ6" i="3" a="1"/>
  <c r="AJ6" i="3" s="1"/>
  <c r="AI4" i="3" a="1"/>
  <c r="AI4" i="3" s="1"/>
  <c r="AK9" i="3" a="1"/>
  <c r="AK9" i="3" s="1"/>
  <c r="AJ4" i="3" a="1"/>
  <c r="AJ4" i="3" s="1"/>
  <c r="AI22" i="3" a="1"/>
  <c r="AI22" i="3" s="1"/>
  <c r="AF1" i="2"/>
  <c r="V9" i="4"/>
  <c r="V12" i="4"/>
  <c r="V16" i="4"/>
  <c r="V8" i="4"/>
  <c r="V13" i="4"/>
  <c r="V4" i="4"/>
  <c r="V5" i="4"/>
  <c r="S21" i="4"/>
  <c r="U21" i="4"/>
  <c r="V17" i="4"/>
  <c r="AG1" i="2" l="1"/>
  <c r="AH1" i="2" l="1"/>
  <c r="AI1" i="2" l="1"/>
  <c r="AJ1" i="2" l="1"/>
  <c r="AK1" i="2" l="1"/>
  <c r="AL1" i="2" l="1"/>
  <c r="AM1" i="2" l="1"/>
  <c r="AN1" i="2" l="1"/>
  <c r="AO1" i="2" l="1"/>
  <c r="AP1" i="2" l="1"/>
  <c r="AQ1" i="2" l="1"/>
  <c r="AR1" i="2" l="1"/>
  <c r="AS1" i="2" l="1"/>
  <c r="AT1" i="2" l="1"/>
  <c r="AU1" i="2" l="1"/>
  <c r="AV1" i="2" l="1"/>
  <c r="AW1" i="2" l="1"/>
  <c r="AX1" i="2" l="1"/>
  <c r="AY1" i="2" l="1"/>
  <c r="AZ1" i="2" l="1"/>
  <c r="BA1" i="2" l="1"/>
  <c r="BB1" i="2" l="1"/>
  <c r="BC1" i="2" l="1"/>
  <c r="BD1" i="2" l="1"/>
  <c r="BE1" i="2" l="1"/>
  <c r="BF1" i="2" l="1"/>
  <c r="BG1" i="2" l="1"/>
  <c r="BH1" i="2" l="1"/>
  <c r="BI1" i="2" l="1"/>
  <c r="BJ1" i="2" l="1"/>
  <c r="BK1" i="2" l="1"/>
  <c r="BL1" i="2" l="1"/>
  <c r="BM1" i="2" l="1"/>
  <c r="BN1" i="2" l="1"/>
  <c r="BO1" i="2" l="1"/>
  <c r="BP1" i="2" l="1"/>
  <c r="BQ1" i="2" l="1"/>
  <c r="BR1" i="2" l="1"/>
  <c r="BS1" i="2" l="1"/>
  <c r="BT1" i="2" l="1"/>
  <c r="BU1" i="2" l="1"/>
  <c r="BV1" i="2" l="1"/>
  <c r="BW1" i="2" l="1"/>
  <c r="BX1" i="2" l="1"/>
  <c r="BY1" i="2" l="1"/>
  <c r="BZ1" i="2" l="1"/>
  <c r="CA1" i="2" l="1"/>
  <c r="CB1" i="2" l="1"/>
  <c r="CC1" i="2" l="1"/>
  <c r="CD1" i="2" l="1"/>
  <c r="CE1" i="2" l="1"/>
  <c r="CF1" i="2" l="1"/>
  <c r="CG1" i="2" l="1"/>
  <c r="CH1" i="2" l="1"/>
  <c r="CI1" i="2" l="1"/>
  <c r="CJ1" i="2" l="1"/>
  <c r="CK1" i="2" l="1"/>
  <c r="CL1" i="2" l="1"/>
  <c r="CM1" i="2" l="1"/>
  <c r="CN1" i="2" l="1"/>
  <c r="CO1" i="2" l="1"/>
  <c r="CP1" i="2" l="1"/>
  <c r="CQ1" i="2" l="1"/>
  <c r="CR1" i="2" l="1"/>
  <c r="CS1" i="2" l="1"/>
  <c r="CT1" i="2" l="1"/>
  <c r="CU1" i="2" l="1"/>
  <c r="CV1" i="2" l="1"/>
  <c r="CW1" i="2" l="1"/>
  <c r="CX1" i="2" l="1"/>
  <c r="CY1" i="2" l="1"/>
  <c r="CZ1" i="2" l="1"/>
  <c r="DA1" i="2" l="1"/>
  <c r="DB1" i="2" l="1"/>
  <c r="DC1" i="2" l="1"/>
  <c r="DD1" i="2" l="1"/>
  <c r="DE1" i="2" l="1"/>
  <c r="DF1" i="2" l="1"/>
  <c r="DG1" i="2" l="1"/>
  <c r="DH1" i="2" l="1"/>
  <c r="DI1" i="2" l="1"/>
  <c r="DJ1" i="2" l="1"/>
  <c r="E44" i="2" l="1" a="1"/>
  <c r="E44" i="2" s="1"/>
  <c r="F44" i="2" s="1"/>
  <c r="DK1" i="2"/>
  <c r="E47" i="2" s="1" a="1"/>
  <c r="E47" i="2" s="1"/>
  <c r="F47" i="2" s="1"/>
  <c r="E24" i="2" l="1" a="1"/>
  <c r="E24" i="2" s="1"/>
  <c r="F24" i="2" s="1"/>
  <c r="E13" i="2" a="1"/>
  <c r="E13" i="2" s="1"/>
  <c r="F13" i="2" s="1"/>
  <c r="E43" i="2" a="1"/>
  <c r="E43" i="2" s="1"/>
  <c r="F43" i="2" s="1"/>
  <c r="E21" i="2" a="1"/>
  <c r="E21" i="2" s="1"/>
  <c r="F21" i="2" s="1"/>
  <c r="E15" i="2" a="1"/>
  <c r="E15" i="2" s="1"/>
  <c r="F15" i="2" s="1"/>
  <c r="E7" i="2" a="1"/>
  <c r="E7" i="2" s="1"/>
  <c r="F7" i="2" s="1"/>
  <c r="E59" i="2" a="1"/>
  <c r="E59" i="2" s="1"/>
  <c r="F59" i="2" s="1"/>
  <c r="E66" i="2" a="1"/>
  <c r="E66" i="2" s="1"/>
  <c r="F66" i="2" s="1"/>
  <c r="E49" i="2" a="1"/>
  <c r="E49" i="2" s="1"/>
  <c r="F49" i="2" s="1"/>
  <c r="E20" i="2" a="1"/>
  <c r="E20" i="2" s="1"/>
  <c r="F20" i="2" s="1"/>
  <c r="E14" i="2" a="1"/>
  <c r="E14" i="2" s="1"/>
  <c r="F14" i="2" s="1"/>
  <c r="E50" i="2" a="1"/>
  <c r="E50" i="2" s="1"/>
  <c r="F50" i="2" s="1"/>
  <c r="E8" i="2" a="1"/>
  <c r="E8" i="2" s="1"/>
  <c r="F8" i="2" s="1"/>
  <c r="E33" i="2" a="1"/>
  <c r="E33" i="2" s="1"/>
  <c r="F33" i="2" s="1"/>
  <c r="E18" i="2" a="1"/>
  <c r="E18" i="2" s="1"/>
  <c r="F18" i="2" s="1"/>
  <c r="E69" i="2" a="1"/>
  <c r="E69" i="2" s="1"/>
  <c r="F69" i="2" s="1"/>
  <c r="E25" i="2" a="1"/>
  <c r="E25" i="2" s="1"/>
  <c r="F25" i="2" s="1"/>
  <c r="E40" i="2" a="1"/>
  <c r="E40" i="2" s="1"/>
  <c r="E48" i="2" a="1"/>
  <c r="E48" i="2" s="1"/>
  <c r="F48" i="2" s="1"/>
  <c r="E56" i="2" a="1"/>
  <c r="E56" i="2" s="1"/>
  <c r="F56" i="2" s="1"/>
  <c r="E67" i="2" a="1"/>
  <c r="E67" i="2" s="1"/>
  <c r="F67" i="2" s="1"/>
  <c r="E77" i="2" a="1"/>
  <c r="E77" i="2" s="1"/>
  <c r="F77" i="2" s="1"/>
  <c r="E74" i="2" a="1"/>
  <c r="E74" i="2" s="1"/>
  <c r="F74" i="2" s="1"/>
  <c r="E37" i="2" a="1"/>
  <c r="E37" i="2" s="1"/>
  <c r="F37" i="2" s="1"/>
  <c r="E11" i="2" a="1"/>
  <c r="E11" i="2" s="1"/>
  <c r="F11" i="2" s="1"/>
  <c r="E65" i="2" a="1"/>
  <c r="E65" i="2" s="1"/>
  <c r="F65" i="2" s="1"/>
  <c r="E27" i="2" a="1"/>
  <c r="E27" i="2" s="1"/>
  <c r="F27" i="2" s="1"/>
  <c r="E61" i="2" a="1"/>
  <c r="E61" i="2" s="1"/>
  <c r="F61" i="2" s="1"/>
  <c r="E52" i="2" a="1"/>
  <c r="E52" i="2" s="1"/>
  <c r="F52" i="2" s="1"/>
  <c r="E28" i="2" a="1"/>
  <c r="E28" i="2" s="1"/>
  <c r="F28" i="2" s="1"/>
  <c r="E53" i="2" a="1"/>
  <c r="E53" i="2" s="1"/>
  <c r="F53" i="2" s="1"/>
  <c r="E60" i="2" a="1"/>
  <c r="E60" i="2" s="1"/>
  <c r="F60" i="2" s="1"/>
  <c r="E10" i="2" a="1"/>
  <c r="E10" i="2" s="1"/>
  <c r="F10" i="2" s="1"/>
  <c r="E76" i="2" a="1"/>
  <c r="E76" i="2" s="1"/>
  <c r="F76" i="2" s="1"/>
  <c r="E68" i="2" a="1"/>
  <c r="E68" i="2" s="1"/>
  <c r="F68" i="2" s="1"/>
  <c r="E12" i="2" a="1"/>
  <c r="E12" i="2" s="1"/>
  <c r="F12" i="2" s="1"/>
  <c r="E31" i="2" a="1"/>
  <c r="E31" i="2" s="1"/>
  <c r="F31" i="2" s="1"/>
  <c r="E16" i="2" a="1"/>
  <c r="E16" i="2" s="1"/>
  <c r="F16" i="2" s="1"/>
  <c r="E70" i="2" a="1"/>
  <c r="E70" i="2" s="1"/>
  <c r="F70" i="2" s="1"/>
  <c r="E22" i="2" a="1"/>
  <c r="E22" i="2" s="1"/>
  <c r="E41" i="2" a="1"/>
  <c r="E41" i="2" s="1"/>
  <c r="F41" i="2" s="1"/>
  <c r="E17" i="2" a="1"/>
  <c r="E17" i="2" s="1"/>
  <c r="F17" i="2" s="1"/>
  <c r="E29" i="2" a="1"/>
  <c r="E29" i="2" s="1"/>
  <c r="F29" i="2" s="1"/>
  <c r="E62" i="2" a="1"/>
  <c r="E62" i="2" s="1"/>
  <c r="F62" i="2" s="1"/>
  <c r="E9" i="2" a="1"/>
  <c r="E9" i="2" s="1"/>
  <c r="F9" i="2" s="1"/>
  <c r="E78" i="2" a="1"/>
  <c r="E78" i="2" s="1"/>
  <c r="F78" i="2" s="1"/>
  <c r="E2" i="2" a="1"/>
  <c r="E2" i="2" s="1"/>
  <c r="F2" i="2" s="1"/>
  <c r="E79" i="2" a="1"/>
  <c r="E79" i="2" s="1"/>
  <c r="F79" i="2" s="1"/>
  <c r="E36" i="2" a="1"/>
  <c r="E36" i="2" s="1"/>
  <c r="F36" i="2" s="1"/>
  <c r="E26" i="2" a="1"/>
  <c r="E26" i="2" s="1"/>
  <c r="F26" i="2" s="1"/>
  <c r="E4" i="2" a="1"/>
  <c r="E4" i="2" s="1"/>
  <c r="F4" i="2" s="1"/>
  <c r="E23" i="2" a="1"/>
  <c r="E23" i="2" s="1"/>
  <c r="F23" i="2" s="1"/>
  <c r="E30" i="2" a="1"/>
  <c r="E30" i="2" s="1"/>
  <c r="F30" i="2" s="1"/>
  <c r="E81" i="2" a="1"/>
  <c r="E81" i="2" s="1"/>
  <c r="F81" i="2" s="1"/>
  <c r="E35" i="2" a="1"/>
  <c r="E35" i="2" s="1"/>
  <c r="F35" i="2" s="1"/>
  <c r="E42" i="2" a="1"/>
  <c r="E42" i="2" s="1"/>
  <c r="F42" i="2" s="1"/>
  <c r="E80" i="2" a="1"/>
  <c r="E80" i="2" s="1"/>
  <c r="F80" i="2" s="1"/>
  <c r="E34" i="2" a="1"/>
  <c r="E34" i="2" s="1"/>
  <c r="F34" i="2" s="1"/>
  <c r="E38" i="2" a="1"/>
  <c r="E38" i="2" s="1"/>
  <c r="F38" i="2" s="1"/>
  <c r="E3" i="2" a="1"/>
  <c r="E3" i="2" s="1"/>
  <c r="F3" i="2" s="1"/>
  <c r="E6" i="2" a="1"/>
  <c r="E6" i="2" s="1"/>
  <c r="F6" i="2" s="1"/>
  <c r="E73" i="2" a="1"/>
  <c r="E73" i="2" s="1"/>
  <c r="F73" i="2" s="1"/>
  <c r="E72" i="2" a="1"/>
  <c r="E72" i="2" s="1"/>
  <c r="F72" i="2" s="1"/>
  <c r="E32" i="2" a="1"/>
  <c r="E32" i="2" s="1"/>
  <c r="E19" i="2" a="1"/>
  <c r="E19" i="2" s="1"/>
  <c r="F19" i="2" s="1"/>
  <c r="E39" i="2" a="1"/>
  <c r="E39" i="2" s="1"/>
  <c r="F39" i="2" s="1"/>
  <c r="E64" i="2" a="1"/>
  <c r="E64" i="2" s="1"/>
  <c r="F64" i="2" s="1"/>
  <c r="E71" i="2" a="1"/>
  <c r="E71" i="2" s="1"/>
  <c r="F71" i="2" s="1"/>
  <c r="E57" i="2" a="1"/>
  <c r="E57" i="2" s="1"/>
  <c r="F57" i="2" s="1"/>
  <c r="E5" i="2" l="1" a="1"/>
  <c r="E5" i="2" s="1"/>
  <c r="F5" i="2" s="1"/>
</calcChain>
</file>

<file path=xl/comments1.xml><?xml version="1.0" encoding="utf-8"?>
<comments xmlns="http://schemas.openxmlformats.org/spreadsheetml/2006/main">
  <authors>
    <author>Amberlee Sorensen</author>
    <author>Tom Montague</author>
    <author>Sharla Tucker</author>
    <author>John Lemmons</author>
    <author>Stephen Stroup</author>
  </authors>
  <commentList>
    <comment ref="E9" authorId="0" shapeId="0">
      <text>
        <r>
          <rPr>
            <b/>
            <sz val="9"/>
            <color indexed="81"/>
            <rFont val="Tahoma"/>
            <family val="2"/>
          </rPr>
          <t>Amberlee Sorensen:</t>
        </r>
        <r>
          <rPr>
            <sz val="9"/>
            <color indexed="81"/>
            <rFont val="Tahoma"/>
            <family val="2"/>
          </rPr>
          <t xml:space="preserve">
Robert Half's week begins Saturday and ends Friday @ midnight; with anything over 40 considered OT
</t>
        </r>
      </text>
    </comment>
    <comment ref="I9" authorId="0" shapeId="0">
      <text>
        <r>
          <rPr>
            <b/>
            <sz val="9"/>
            <color indexed="81"/>
            <rFont val="Tahoma"/>
            <family val="2"/>
          </rPr>
          <t>Amberlee Sorensen:</t>
        </r>
        <r>
          <rPr>
            <sz val="9"/>
            <color indexed="81"/>
            <rFont val="Tahoma"/>
            <family val="2"/>
          </rPr>
          <t xml:space="preserve">
Robert Half's week begins Saturday and ends Friday @ midnight; with anything over 40 considered OT
</t>
        </r>
      </text>
    </comment>
    <comment ref="X9" authorId="1" shapeId="0">
      <text>
        <r>
          <rPr>
            <b/>
            <sz val="9"/>
            <color indexed="81"/>
            <rFont val="Tahoma"/>
            <family val="2"/>
          </rPr>
          <t>Tom Montague:</t>
        </r>
        <r>
          <rPr>
            <sz val="9"/>
            <color indexed="81"/>
            <rFont val="Tahoma"/>
            <family val="2"/>
          </rPr>
          <t xml:space="preserve">
8 minutes late
</t>
        </r>
      </text>
    </comment>
    <comment ref="AE9" authorId="0" shapeId="0">
      <text>
        <r>
          <rPr>
            <b/>
            <sz val="9"/>
            <color indexed="81"/>
            <rFont val="Tahoma"/>
            <family val="2"/>
          </rPr>
          <t>Amberlee Sorensen:</t>
        </r>
        <r>
          <rPr>
            <sz val="9"/>
            <color indexed="81"/>
            <rFont val="Tahoma"/>
            <family val="2"/>
          </rPr>
          <t xml:space="preserve">
Robert Half's week begins Saturday and ends Friday @ midnight; with anything over 40 considered OT
</t>
        </r>
      </text>
    </comment>
    <comment ref="AW9" authorId="0" shapeId="0">
      <text>
        <r>
          <rPr>
            <b/>
            <sz val="9"/>
            <color indexed="81"/>
            <rFont val="Tahoma"/>
            <family val="2"/>
          </rPr>
          <t>Amberlee Sorensen:</t>
        </r>
        <r>
          <rPr>
            <sz val="9"/>
            <color indexed="81"/>
            <rFont val="Tahoma"/>
            <family val="2"/>
          </rPr>
          <t xml:space="preserve">
Robert Half's week begins Saturday and ends Friday @ midnight; with anything over 40 considered OT
</t>
        </r>
      </text>
    </comment>
    <comment ref="BA9" authorId="0" shapeId="0">
      <text>
        <r>
          <rPr>
            <b/>
            <sz val="9"/>
            <color indexed="81"/>
            <rFont val="Tahoma"/>
            <family val="2"/>
          </rPr>
          <t>Amberlee Sorensen:</t>
        </r>
        <r>
          <rPr>
            <sz val="9"/>
            <color indexed="81"/>
            <rFont val="Tahoma"/>
            <family val="2"/>
          </rPr>
          <t xml:space="preserve">
Robert Half's week begins Saturday and ends Friday @ midnight; with anything over 40 considered OT
</t>
        </r>
      </text>
    </comment>
    <comment ref="O10" authorId="1" shapeId="0">
      <text>
        <r>
          <rPr>
            <b/>
            <sz val="9"/>
            <color indexed="81"/>
            <rFont val="Tahoma"/>
            <family val="2"/>
          </rPr>
          <t>Tom Montague:</t>
        </r>
        <r>
          <rPr>
            <sz val="9"/>
            <color indexed="81"/>
            <rFont val="Tahoma"/>
            <family val="2"/>
          </rPr>
          <t xml:space="preserve">
10 minutes late
</t>
        </r>
      </text>
    </comment>
    <comment ref="AH10" authorId="1" shapeId="0">
      <text>
        <r>
          <rPr>
            <b/>
            <sz val="9"/>
            <color indexed="81"/>
            <rFont val="Tahoma"/>
            <family val="2"/>
          </rPr>
          <t>Tom Montague:</t>
        </r>
        <r>
          <rPr>
            <sz val="9"/>
            <color indexed="81"/>
            <rFont val="Tahoma"/>
            <family val="2"/>
          </rPr>
          <t xml:space="preserve">
Called out for first half of day.
</t>
        </r>
      </text>
    </comment>
    <comment ref="E22" authorId="1" shapeId="0">
      <text>
        <r>
          <rPr>
            <b/>
            <sz val="9"/>
            <color indexed="81"/>
            <rFont val="Tahoma"/>
            <family val="2"/>
          </rPr>
          <t>Tom Montague:</t>
        </r>
        <r>
          <rPr>
            <sz val="9"/>
            <color indexed="81"/>
            <rFont val="Tahoma"/>
            <family val="2"/>
          </rPr>
          <t xml:space="preserve">
Reminder- He's not in the building so he can't count as a plus 2 
</t>
        </r>
      </text>
    </comment>
    <comment ref="I22" authorId="1" shapeId="0">
      <text>
        <r>
          <rPr>
            <b/>
            <sz val="9"/>
            <color indexed="81"/>
            <rFont val="Tahoma"/>
            <family val="2"/>
          </rPr>
          <t>Tom Montague:</t>
        </r>
        <r>
          <rPr>
            <sz val="9"/>
            <color indexed="81"/>
            <rFont val="Tahoma"/>
            <family val="2"/>
          </rPr>
          <t xml:space="preserve">
Reminder- He's not in the building so he can't count as a plus 2 </t>
        </r>
      </text>
    </comment>
    <comment ref="AW22" authorId="1" shapeId="0">
      <text>
        <r>
          <rPr>
            <b/>
            <sz val="9"/>
            <color indexed="81"/>
            <rFont val="Tahoma"/>
            <family val="2"/>
          </rPr>
          <t>Tom Montague:</t>
        </r>
        <r>
          <rPr>
            <sz val="9"/>
            <color indexed="81"/>
            <rFont val="Tahoma"/>
            <family val="2"/>
          </rPr>
          <t xml:space="preserve">
Reminder- He's not in the building so he can't count as a plus 2 
</t>
        </r>
      </text>
    </comment>
    <comment ref="BA22" authorId="1" shapeId="0">
      <text>
        <r>
          <rPr>
            <b/>
            <sz val="9"/>
            <color indexed="81"/>
            <rFont val="Tahoma"/>
            <family val="2"/>
          </rPr>
          <t>Tom Montague:</t>
        </r>
        <r>
          <rPr>
            <sz val="9"/>
            <color indexed="81"/>
            <rFont val="Tahoma"/>
            <family val="2"/>
          </rPr>
          <t xml:space="preserve">
Reminder- He's not in the building so he can't count as a plus 2 </t>
        </r>
      </text>
    </comment>
    <comment ref="AH24" authorId="0" shapeId="0">
      <text>
        <r>
          <rPr>
            <b/>
            <sz val="9"/>
            <color indexed="81"/>
            <rFont val="Tahoma"/>
            <family val="2"/>
          </rPr>
          <t>Amberlee Sorensen:</t>
        </r>
        <r>
          <rPr>
            <sz val="9"/>
            <color indexed="81"/>
            <rFont val="Tahoma"/>
            <family val="2"/>
          </rPr>
          <t xml:space="preserve">
Has the flu 
</t>
        </r>
      </text>
    </comment>
    <comment ref="R25" authorId="1" shapeId="0">
      <text>
        <r>
          <rPr>
            <b/>
            <sz val="9"/>
            <color indexed="81"/>
            <rFont val="Tahoma"/>
            <family val="2"/>
          </rPr>
          <t>Tom Montague:</t>
        </r>
        <r>
          <rPr>
            <sz val="9"/>
            <color indexed="81"/>
            <rFont val="Tahoma"/>
            <family val="2"/>
          </rPr>
          <t xml:space="preserve">
8 minutes late
</t>
        </r>
      </text>
    </comment>
    <comment ref="AT25" authorId="2" shapeId="0">
      <text>
        <r>
          <rPr>
            <b/>
            <sz val="9"/>
            <color indexed="81"/>
            <rFont val="Tahoma"/>
            <family val="2"/>
          </rPr>
          <t>Sharla Tucker:</t>
        </r>
        <r>
          <rPr>
            <sz val="9"/>
            <color indexed="81"/>
            <rFont val="Tahoma"/>
            <family val="2"/>
          </rPr>
          <t xml:space="preserve">
Running late, power went out</t>
        </r>
      </text>
    </comment>
    <comment ref="AS32" authorId="2" shapeId="0">
      <text>
        <r>
          <rPr>
            <b/>
            <sz val="9"/>
            <color indexed="81"/>
            <rFont val="Tahoma"/>
            <family val="2"/>
          </rPr>
          <t>Sharla Tucker:</t>
        </r>
        <r>
          <rPr>
            <sz val="9"/>
            <color indexed="81"/>
            <rFont val="Tahoma"/>
            <family val="2"/>
          </rPr>
          <t xml:space="preserve">
Went home sick at 10:00</t>
        </r>
      </text>
    </comment>
    <comment ref="Q36" authorId="3" shapeId="0">
      <text>
        <r>
          <rPr>
            <b/>
            <sz val="9"/>
            <color indexed="81"/>
            <rFont val="Tahoma"/>
            <family val="2"/>
          </rPr>
          <t>John Lemmons:</t>
        </r>
        <r>
          <rPr>
            <sz val="9"/>
            <color indexed="81"/>
            <rFont val="Tahoma"/>
            <family val="2"/>
          </rPr>
          <t xml:space="preserve">
Called out sick - flu
</t>
        </r>
      </text>
    </comment>
    <comment ref="T36" authorId="3" shapeId="0">
      <text>
        <r>
          <rPr>
            <b/>
            <sz val="9"/>
            <color indexed="81"/>
            <rFont val="Tahoma"/>
            <family val="2"/>
          </rPr>
          <t>John Lemmons:</t>
        </r>
        <r>
          <rPr>
            <sz val="9"/>
            <color indexed="81"/>
            <rFont val="Tahoma"/>
            <family val="2"/>
          </rPr>
          <t xml:space="preserve">
Called out sick - flu
</t>
        </r>
      </text>
    </comment>
    <comment ref="X40" authorId="4" shapeId="0">
      <text>
        <r>
          <rPr>
            <b/>
            <sz val="9"/>
            <color indexed="81"/>
            <rFont val="Tahoma"/>
            <family val="2"/>
          </rPr>
          <t>Stephen Stroup:</t>
        </r>
        <r>
          <rPr>
            <sz val="9"/>
            <color indexed="81"/>
            <rFont val="Tahoma"/>
            <family val="2"/>
          </rPr>
          <t xml:space="preserve">
Here on time. Account was locked and wasn't able to get it reset and logged in til after 6.
</t>
        </r>
      </text>
    </comment>
    <comment ref="AE45" authorId="0" shapeId="0">
      <text>
        <r>
          <rPr>
            <b/>
            <sz val="9"/>
            <color indexed="81"/>
            <rFont val="Tahoma"/>
            <family val="2"/>
          </rPr>
          <t>Amberlee Sorensen:</t>
        </r>
        <r>
          <rPr>
            <sz val="9"/>
            <color indexed="81"/>
            <rFont val="Tahoma"/>
            <family val="2"/>
          </rPr>
          <t xml:space="preserve">
Covering for Ryan as he had his appendix taken out 
</t>
        </r>
      </text>
    </comment>
    <comment ref="AT45" authorId="4" shapeId="0">
      <text>
        <r>
          <rPr>
            <b/>
            <sz val="9"/>
            <color indexed="81"/>
            <rFont val="Tahoma"/>
            <family val="2"/>
          </rPr>
          <t>Stephen Stroup:</t>
        </r>
        <r>
          <rPr>
            <sz val="9"/>
            <color indexed="81"/>
            <rFont val="Tahoma"/>
            <family val="2"/>
          </rPr>
          <t xml:space="preserve">
Taking first half of first shift off.
</t>
        </r>
      </text>
    </comment>
    <comment ref="AE48" authorId="0" shapeId="0">
      <text>
        <r>
          <rPr>
            <b/>
            <sz val="9"/>
            <color indexed="81"/>
            <rFont val="Tahoma"/>
            <family val="2"/>
          </rPr>
          <t>Amberlee Sorensen:</t>
        </r>
        <r>
          <rPr>
            <sz val="9"/>
            <color indexed="81"/>
            <rFont val="Tahoma"/>
            <family val="2"/>
          </rPr>
          <t xml:space="preserve">
Contacted me Friday as he had his appendix taken out and dr asked that he not return to work until at the earliest Mon. 
</t>
        </r>
      </text>
    </comment>
    <comment ref="AG48" authorId="0" shapeId="0">
      <text>
        <r>
          <rPr>
            <b/>
            <sz val="9"/>
            <color indexed="81"/>
            <rFont val="Tahoma"/>
            <family val="2"/>
          </rPr>
          <t>Amberlee Sorensen:</t>
        </r>
        <r>
          <rPr>
            <sz val="9"/>
            <color indexed="81"/>
            <rFont val="Tahoma"/>
            <family val="2"/>
          </rPr>
          <t xml:space="preserve">
Paul Covering 
</t>
        </r>
      </text>
    </comment>
    <comment ref="L49" authorId="0" shapeId="0">
      <text>
        <r>
          <rPr>
            <b/>
            <sz val="9"/>
            <color indexed="81"/>
            <rFont val="Tahoma"/>
            <family val="2"/>
          </rPr>
          <t>Amberlee Sorensen:</t>
        </r>
        <r>
          <rPr>
            <sz val="9"/>
            <color indexed="81"/>
            <rFont val="Tahoma"/>
            <family val="2"/>
          </rPr>
          <t xml:space="preserve">
Visiting doctor for his leg, is on crutches following his trip and needs to meet with dr to find out if he needs a cast
</t>
        </r>
      </text>
    </comment>
    <comment ref="AA49" authorId="0" shapeId="0">
      <text>
        <r>
          <rPr>
            <b/>
            <sz val="9"/>
            <color indexed="81"/>
            <rFont val="Tahoma"/>
            <family val="2"/>
          </rPr>
          <t>Amberlee Sorensen:</t>
        </r>
        <r>
          <rPr>
            <sz val="9"/>
            <color indexed="81"/>
            <rFont val="Tahoma"/>
            <family val="2"/>
          </rPr>
          <t xml:space="preserve">
Can only work the 8-4 shift, unable to make arrangements to work any other shift
</t>
        </r>
      </text>
    </comment>
    <comment ref="AE49" authorId="0" shapeId="0">
      <text>
        <r>
          <rPr>
            <b/>
            <sz val="9"/>
            <color indexed="81"/>
            <rFont val="Tahoma"/>
            <family val="2"/>
          </rPr>
          <t>Amberlee Sorensen:</t>
        </r>
        <r>
          <rPr>
            <sz val="9"/>
            <color indexed="81"/>
            <rFont val="Tahoma"/>
            <family val="2"/>
          </rPr>
          <t xml:space="preserve">
Can only work the 9-5 shift, unable to make arrangments to work any other shift.
</t>
        </r>
      </text>
    </comment>
    <comment ref="AH49" authorId="0" shapeId="0">
      <text>
        <r>
          <rPr>
            <b/>
            <sz val="9"/>
            <color indexed="81"/>
            <rFont val="Tahoma"/>
            <family val="2"/>
          </rPr>
          <t>Amberlee Sorensen:</t>
        </r>
        <r>
          <rPr>
            <sz val="9"/>
            <color indexed="81"/>
            <rFont val="Tahoma"/>
            <family val="2"/>
          </rPr>
          <t xml:space="preserve">
Ended up falling and hurting his leg, went to the ER
</t>
        </r>
      </text>
    </comment>
    <comment ref="BA49" authorId="0" shapeId="0">
      <text>
        <r>
          <rPr>
            <b/>
            <sz val="9"/>
            <color indexed="81"/>
            <rFont val="Tahoma"/>
            <family val="2"/>
          </rPr>
          <t>Amberlee Sorensen:</t>
        </r>
        <r>
          <rPr>
            <sz val="9"/>
            <color indexed="81"/>
            <rFont val="Tahoma"/>
            <family val="2"/>
          </rPr>
          <t xml:space="preserve">
Can only work the 9-5 shift, unable to make arrangments to work any other shift.
</t>
        </r>
      </text>
    </comment>
    <comment ref="I59" authorId="1" shapeId="0">
      <text>
        <r>
          <rPr>
            <b/>
            <sz val="9"/>
            <color indexed="81"/>
            <rFont val="Tahoma"/>
            <family val="2"/>
          </rPr>
          <t>Tom Montague:</t>
        </r>
        <r>
          <rPr>
            <sz val="9"/>
            <color indexed="81"/>
            <rFont val="Tahoma"/>
            <family val="2"/>
          </rPr>
          <t xml:space="preserve">
If we give him a weekend shift he can have any day off except Tuesday
</t>
        </r>
      </text>
    </comment>
    <comment ref="AA59" authorId="1" shapeId="0">
      <text>
        <r>
          <rPr>
            <b/>
            <sz val="9"/>
            <color indexed="81"/>
            <rFont val="Tahoma"/>
            <family val="2"/>
          </rPr>
          <t>Tom Montague:</t>
        </r>
        <r>
          <rPr>
            <sz val="9"/>
            <color indexed="81"/>
            <rFont val="Tahoma"/>
            <family val="2"/>
          </rPr>
          <t xml:space="preserve">
If we give him a weekend shift he can have any day off except Tuesday
</t>
        </r>
      </text>
    </comment>
    <comment ref="AE59" authorId="1" shapeId="0">
      <text>
        <r>
          <rPr>
            <b/>
            <sz val="9"/>
            <color indexed="81"/>
            <rFont val="Tahoma"/>
            <family val="2"/>
          </rPr>
          <t>Tom Montague:</t>
        </r>
        <r>
          <rPr>
            <sz val="9"/>
            <color indexed="81"/>
            <rFont val="Tahoma"/>
            <family val="2"/>
          </rPr>
          <t xml:space="preserve">
If we give him a weekend shift he can have any day off except Tuesday
</t>
        </r>
      </text>
    </comment>
    <comment ref="E67" authorId="3" shapeId="0">
      <text>
        <r>
          <rPr>
            <b/>
            <sz val="9"/>
            <color indexed="81"/>
            <rFont val="Tahoma"/>
            <family val="2"/>
          </rPr>
          <t>John Lemmons:</t>
        </r>
        <r>
          <rPr>
            <sz val="9"/>
            <color indexed="81"/>
            <rFont val="Tahoma"/>
            <family val="2"/>
          </rPr>
          <t xml:space="preserve">
Counts both "6:00am" and "6AM-2PM" values. 
</t>
        </r>
      </text>
    </comment>
    <comment ref="I67" authorId="3" shapeId="0">
      <text>
        <r>
          <rPr>
            <b/>
            <sz val="9"/>
            <color indexed="81"/>
            <rFont val="Tahoma"/>
            <family val="2"/>
          </rPr>
          <t>John Lemmons:</t>
        </r>
        <r>
          <rPr>
            <sz val="9"/>
            <color indexed="81"/>
            <rFont val="Tahoma"/>
            <family val="2"/>
          </rPr>
          <t xml:space="preserve">
Counts both "6:00am" and "6AM-2PM" values. 
</t>
        </r>
      </text>
    </comment>
    <comment ref="AA67" authorId="3" shapeId="0">
      <text>
        <r>
          <rPr>
            <b/>
            <sz val="9"/>
            <color indexed="81"/>
            <rFont val="Tahoma"/>
            <family val="2"/>
          </rPr>
          <t>John Lemmons:</t>
        </r>
        <r>
          <rPr>
            <sz val="9"/>
            <color indexed="81"/>
            <rFont val="Tahoma"/>
            <family val="2"/>
          </rPr>
          <t xml:space="preserve">
Counts both "6:00am" and "6AM-2PM" values. 
</t>
        </r>
      </text>
    </comment>
    <comment ref="AE67" authorId="3" shapeId="0">
      <text>
        <r>
          <rPr>
            <b/>
            <sz val="9"/>
            <color indexed="81"/>
            <rFont val="Tahoma"/>
            <family val="2"/>
          </rPr>
          <t>John Lemmons:</t>
        </r>
        <r>
          <rPr>
            <sz val="9"/>
            <color indexed="81"/>
            <rFont val="Tahoma"/>
            <family val="2"/>
          </rPr>
          <t xml:space="preserve">
Counts both "6:00am" and "6AM-2PM" values. 
</t>
        </r>
      </text>
    </comment>
    <comment ref="AW67" authorId="3" shapeId="0">
      <text>
        <r>
          <rPr>
            <b/>
            <sz val="9"/>
            <color indexed="81"/>
            <rFont val="Tahoma"/>
            <family val="2"/>
          </rPr>
          <t>John Lemmons:</t>
        </r>
        <r>
          <rPr>
            <sz val="9"/>
            <color indexed="81"/>
            <rFont val="Tahoma"/>
            <family val="2"/>
          </rPr>
          <t xml:space="preserve">
Counts both "6:00am" and "6AM-2PM" values. 
</t>
        </r>
      </text>
    </comment>
    <comment ref="BA67" authorId="3" shapeId="0">
      <text>
        <r>
          <rPr>
            <b/>
            <sz val="9"/>
            <color indexed="81"/>
            <rFont val="Tahoma"/>
            <family val="2"/>
          </rPr>
          <t>John Lemmons:</t>
        </r>
        <r>
          <rPr>
            <sz val="9"/>
            <color indexed="81"/>
            <rFont val="Tahoma"/>
            <family val="2"/>
          </rPr>
          <t xml:space="preserve">
Counts both "6:00am" and "6AM-2PM" values. 
</t>
        </r>
      </text>
    </comment>
    <comment ref="E68" authorId="3" shapeId="0">
      <text>
        <r>
          <rPr>
            <b/>
            <sz val="9"/>
            <color indexed="81"/>
            <rFont val="Tahoma"/>
            <family val="2"/>
          </rPr>
          <t>John Lemmons:</t>
        </r>
        <r>
          <rPr>
            <sz val="9"/>
            <color indexed="81"/>
            <rFont val="Tahoma"/>
            <family val="2"/>
          </rPr>
          <t xml:space="preserve">
Counts any starts from 7am - noon (on the hour). 
</t>
        </r>
      </text>
    </comment>
    <comment ref="I68" authorId="3" shapeId="0">
      <text>
        <r>
          <rPr>
            <b/>
            <sz val="9"/>
            <color indexed="81"/>
            <rFont val="Tahoma"/>
            <family val="2"/>
          </rPr>
          <t>John Lemmons:</t>
        </r>
        <r>
          <rPr>
            <sz val="9"/>
            <color indexed="81"/>
            <rFont val="Tahoma"/>
            <family val="2"/>
          </rPr>
          <t xml:space="preserve">
Counts any starts from 7am - noon (on the hour). 
</t>
        </r>
      </text>
    </comment>
    <comment ref="AA68" authorId="3" shapeId="0">
      <text>
        <r>
          <rPr>
            <b/>
            <sz val="9"/>
            <color indexed="81"/>
            <rFont val="Tahoma"/>
            <family val="2"/>
          </rPr>
          <t>John Lemmons:</t>
        </r>
        <r>
          <rPr>
            <sz val="9"/>
            <color indexed="81"/>
            <rFont val="Tahoma"/>
            <family val="2"/>
          </rPr>
          <t xml:space="preserve">
Counts any starts from 7am - noon (on the hour). 
</t>
        </r>
      </text>
    </comment>
    <comment ref="AE68" authorId="3" shapeId="0">
      <text>
        <r>
          <rPr>
            <b/>
            <sz val="9"/>
            <color indexed="81"/>
            <rFont val="Tahoma"/>
            <family val="2"/>
          </rPr>
          <t>John Lemmons:</t>
        </r>
        <r>
          <rPr>
            <sz val="9"/>
            <color indexed="81"/>
            <rFont val="Tahoma"/>
            <family val="2"/>
          </rPr>
          <t xml:space="preserve">
Counts any starts from 7am - noon (on the hour). 
</t>
        </r>
      </text>
    </comment>
    <comment ref="AW68" authorId="3" shapeId="0">
      <text>
        <r>
          <rPr>
            <b/>
            <sz val="9"/>
            <color indexed="81"/>
            <rFont val="Tahoma"/>
            <family val="2"/>
          </rPr>
          <t>John Lemmons:</t>
        </r>
        <r>
          <rPr>
            <sz val="9"/>
            <color indexed="81"/>
            <rFont val="Tahoma"/>
            <family val="2"/>
          </rPr>
          <t xml:space="preserve">
Counts any starts from 7am - noon (on the hour). 
</t>
        </r>
      </text>
    </comment>
    <comment ref="BA68" authorId="3" shapeId="0">
      <text>
        <r>
          <rPr>
            <b/>
            <sz val="9"/>
            <color indexed="81"/>
            <rFont val="Tahoma"/>
            <family val="2"/>
          </rPr>
          <t>John Lemmons:</t>
        </r>
        <r>
          <rPr>
            <sz val="9"/>
            <color indexed="81"/>
            <rFont val="Tahoma"/>
            <family val="2"/>
          </rPr>
          <t xml:space="preserve">
Counts any starts from 7am - noon (on the hour). 
</t>
        </r>
      </text>
    </comment>
    <comment ref="E69" authorId="3" shapeId="0">
      <text>
        <r>
          <rPr>
            <b/>
            <sz val="9"/>
            <color indexed="81"/>
            <rFont val="Tahoma"/>
            <family val="2"/>
          </rPr>
          <t>John Lemmons:</t>
        </r>
        <r>
          <rPr>
            <sz val="9"/>
            <color indexed="81"/>
            <rFont val="Tahoma"/>
            <family val="2"/>
          </rPr>
          <t xml:space="preserve">
Counts either "2:00 PM" from the start column, or "2PM-10PM" from either Start or End columns. 
</t>
        </r>
      </text>
    </comment>
    <comment ref="I69" authorId="3" shapeId="0">
      <text>
        <r>
          <rPr>
            <b/>
            <sz val="9"/>
            <color indexed="81"/>
            <rFont val="Tahoma"/>
            <family val="2"/>
          </rPr>
          <t>John Lemmons:</t>
        </r>
        <r>
          <rPr>
            <sz val="9"/>
            <color indexed="81"/>
            <rFont val="Tahoma"/>
            <family val="2"/>
          </rPr>
          <t xml:space="preserve">
Counts either "2:00 PM" from the start column, or "2PM-10PM" from either Start or End columns. 
</t>
        </r>
      </text>
    </comment>
    <comment ref="AA69" authorId="3" shapeId="0">
      <text>
        <r>
          <rPr>
            <b/>
            <sz val="9"/>
            <color indexed="81"/>
            <rFont val="Tahoma"/>
            <family val="2"/>
          </rPr>
          <t>John Lemmons:</t>
        </r>
        <r>
          <rPr>
            <sz val="9"/>
            <color indexed="81"/>
            <rFont val="Tahoma"/>
            <family val="2"/>
          </rPr>
          <t xml:space="preserve">
Counts either "2:00 PM" from the start column, or "2PM-10PM" from either Start or End columns. 
</t>
        </r>
      </text>
    </comment>
    <comment ref="AE69" authorId="3" shapeId="0">
      <text>
        <r>
          <rPr>
            <b/>
            <sz val="9"/>
            <color indexed="81"/>
            <rFont val="Tahoma"/>
            <family val="2"/>
          </rPr>
          <t>John Lemmons:</t>
        </r>
        <r>
          <rPr>
            <sz val="9"/>
            <color indexed="81"/>
            <rFont val="Tahoma"/>
            <family val="2"/>
          </rPr>
          <t xml:space="preserve">
Counts either "2:00 PM" from the start column, or "2PM-10PM" from either Start or End columns. 
</t>
        </r>
      </text>
    </comment>
    <comment ref="AW69" authorId="3" shapeId="0">
      <text>
        <r>
          <rPr>
            <b/>
            <sz val="9"/>
            <color indexed="81"/>
            <rFont val="Tahoma"/>
            <family val="2"/>
          </rPr>
          <t>John Lemmons:</t>
        </r>
        <r>
          <rPr>
            <sz val="9"/>
            <color indexed="81"/>
            <rFont val="Tahoma"/>
            <family val="2"/>
          </rPr>
          <t xml:space="preserve">
Counts either "2:00 PM" from the start column, or "2PM-10PM" from either Start or End columns. 
</t>
        </r>
      </text>
    </comment>
    <comment ref="BA69" authorId="3" shapeId="0">
      <text>
        <r>
          <rPr>
            <b/>
            <sz val="9"/>
            <color indexed="81"/>
            <rFont val="Tahoma"/>
            <family val="2"/>
          </rPr>
          <t>John Lemmons:</t>
        </r>
        <r>
          <rPr>
            <sz val="9"/>
            <color indexed="81"/>
            <rFont val="Tahoma"/>
            <family val="2"/>
          </rPr>
          <t xml:space="preserve">
Counts either "2:00 PM" from the start column, or "2PM-10PM" from either Start or End columns. 
</t>
        </r>
      </text>
    </comment>
    <comment ref="E70" authorId="3" shapeId="0">
      <text>
        <r>
          <rPr>
            <b/>
            <sz val="9"/>
            <color indexed="81"/>
            <rFont val="Tahoma"/>
            <family val="2"/>
          </rPr>
          <t>John Lemmons:</t>
        </r>
        <r>
          <rPr>
            <sz val="9"/>
            <color indexed="81"/>
            <rFont val="Tahoma"/>
            <family val="2"/>
          </rPr>
          <t xml:space="preserve">
Counts either "10:00 PM" or "10PM-6AM" from either Start or End columns. 
</t>
        </r>
      </text>
    </comment>
    <comment ref="I70" authorId="3" shapeId="0">
      <text>
        <r>
          <rPr>
            <b/>
            <sz val="9"/>
            <color indexed="81"/>
            <rFont val="Tahoma"/>
            <family val="2"/>
          </rPr>
          <t>John Lemmons:</t>
        </r>
        <r>
          <rPr>
            <sz val="9"/>
            <color indexed="81"/>
            <rFont val="Tahoma"/>
            <family val="2"/>
          </rPr>
          <t xml:space="preserve">
Counts either "10:00 PM" or "10PM-6AM" from either Start or End columns. 
</t>
        </r>
      </text>
    </comment>
    <comment ref="AA70" authorId="3" shapeId="0">
      <text>
        <r>
          <rPr>
            <b/>
            <sz val="9"/>
            <color indexed="81"/>
            <rFont val="Tahoma"/>
            <family val="2"/>
          </rPr>
          <t>John Lemmons:</t>
        </r>
        <r>
          <rPr>
            <sz val="9"/>
            <color indexed="81"/>
            <rFont val="Tahoma"/>
            <family val="2"/>
          </rPr>
          <t xml:space="preserve">
Counts either "10:00 PM" from the Start column or "10PM-6AM" from the End column. 
</t>
        </r>
      </text>
    </comment>
    <comment ref="AE70" authorId="3" shapeId="0">
      <text>
        <r>
          <rPr>
            <b/>
            <sz val="9"/>
            <color indexed="81"/>
            <rFont val="Tahoma"/>
            <family val="2"/>
          </rPr>
          <t>John Lemmons:</t>
        </r>
        <r>
          <rPr>
            <sz val="9"/>
            <color indexed="81"/>
            <rFont val="Tahoma"/>
            <family val="2"/>
          </rPr>
          <t xml:space="preserve">
Counts either "10:00 PM" or "10PM-6AM" from either Start or End columns. 
</t>
        </r>
      </text>
    </comment>
    <comment ref="AW70" authorId="3" shapeId="0">
      <text>
        <r>
          <rPr>
            <b/>
            <sz val="9"/>
            <color indexed="81"/>
            <rFont val="Tahoma"/>
            <family val="2"/>
          </rPr>
          <t>John Lemmons:</t>
        </r>
        <r>
          <rPr>
            <sz val="9"/>
            <color indexed="81"/>
            <rFont val="Tahoma"/>
            <family val="2"/>
          </rPr>
          <t xml:space="preserve">
Counts either "10:00 PM" or "10PM-6AM" from either Start or End columns. 
</t>
        </r>
      </text>
    </comment>
    <comment ref="BA70" authorId="3" shapeId="0">
      <text>
        <r>
          <rPr>
            <b/>
            <sz val="9"/>
            <color indexed="81"/>
            <rFont val="Tahoma"/>
            <family val="2"/>
          </rPr>
          <t>John Lemmons:</t>
        </r>
        <r>
          <rPr>
            <sz val="9"/>
            <color indexed="81"/>
            <rFont val="Tahoma"/>
            <family val="2"/>
          </rPr>
          <t xml:space="preserve">
Counts either "10:00 PM" or "10PM-6AM" from either Start or End columns. 
</t>
        </r>
      </text>
    </comment>
    <comment ref="E71" authorId="4" shapeId="0">
      <text>
        <r>
          <rPr>
            <b/>
            <sz val="9"/>
            <color indexed="81"/>
            <rFont val="Tahoma"/>
            <family val="2"/>
          </rPr>
          <t>Stephen Stroup:</t>
        </r>
        <r>
          <rPr>
            <sz val="9"/>
            <color indexed="81"/>
            <rFont val="Tahoma"/>
            <family val="2"/>
          </rPr>
          <t xml:space="preserve">
Determines if there is a core shift that is missing L2 coverage.</t>
        </r>
      </text>
    </comment>
    <comment ref="I71" authorId="4" shapeId="0">
      <text>
        <r>
          <rPr>
            <b/>
            <sz val="9"/>
            <color indexed="81"/>
            <rFont val="Tahoma"/>
            <family val="2"/>
          </rPr>
          <t>Stephen Stroup:</t>
        </r>
        <r>
          <rPr>
            <sz val="9"/>
            <color indexed="81"/>
            <rFont val="Tahoma"/>
            <family val="2"/>
          </rPr>
          <t xml:space="preserve">
Determines if there is a core shift that is missing L2 coverage.</t>
        </r>
      </text>
    </comment>
    <comment ref="AA72" authorId="4" shapeId="0">
      <text>
        <r>
          <rPr>
            <b/>
            <sz val="9"/>
            <color indexed="81"/>
            <rFont val="Tahoma"/>
            <family val="2"/>
          </rPr>
          <t>Stephen Stroup:</t>
        </r>
        <r>
          <rPr>
            <sz val="9"/>
            <color indexed="81"/>
            <rFont val="Tahoma"/>
            <family val="2"/>
          </rPr>
          <t xml:space="preserve">
Determines if there is a core shift that is missing L2 coverage.</t>
        </r>
      </text>
    </comment>
    <comment ref="AE72" authorId="4" shapeId="0">
      <text>
        <r>
          <rPr>
            <b/>
            <sz val="9"/>
            <color indexed="81"/>
            <rFont val="Tahoma"/>
            <family val="2"/>
          </rPr>
          <t>Stephen Stroup:</t>
        </r>
        <r>
          <rPr>
            <sz val="9"/>
            <color indexed="81"/>
            <rFont val="Tahoma"/>
            <family val="2"/>
          </rPr>
          <t xml:space="preserve">
Determines if there is a core shift that is missing L2 coverage.</t>
        </r>
      </text>
    </comment>
    <comment ref="AW72" authorId="4" shapeId="0">
      <text>
        <r>
          <rPr>
            <b/>
            <sz val="9"/>
            <color indexed="81"/>
            <rFont val="Tahoma"/>
            <family val="2"/>
          </rPr>
          <t>Stephen Stroup:</t>
        </r>
        <r>
          <rPr>
            <sz val="9"/>
            <color indexed="81"/>
            <rFont val="Tahoma"/>
            <family val="2"/>
          </rPr>
          <t xml:space="preserve">
Determines if there is a core shift that is missing L2 coverage.</t>
        </r>
      </text>
    </comment>
    <comment ref="BA72" authorId="4" shapeId="0">
      <text>
        <r>
          <rPr>
            <b/>
            <sz val="9"/>
            <color indexed="81"/>
            <rFont val="Tahoma"/>
            <family val="2"/>
          </rPr>
          <t>Stephen Stroup:</t>
        </r>
        <r>
          <rPr>
            <sz val="9"/>
            <color indexed="81"/>
            <rFont val="Tahoma"/>
            <family val="2"/>
          </rPr>
          <t xml:space="preserve">
Determines if there is a core shift that is missing L2 coverage.</t>
        </r>
      </text>
    </comment>
    <comment ref="L74" authorId="3" shapeId="0">
      <text>
        <r>
          <rPr>
            <b/>
            <sz val="9"/>
            <color indexed="81"/>
            <rFont val="Tahoma"/>
            <family val="2"/>
          </rPr>
          <t>John Lemmons:</t>
        </r>
        <r>
          <rPr>
            <sz val="9"/>
            <color indexed="81"/>
            <rFont val="Tahoma"/>
            <family val="2"/>
          </rPr>
          <t xml:space="preserve">
Counts either "10:00 PM" from the Start column or "10PM-6AM" from the End column. 
</t>
        </r>
      </text>
    </comment>
    <comment ref="O74" authorId="3" shapeId="0">
      <text>
        <r>
          <rPr>
            <b/>
            <sz val="9"/>
            <color indexed="81"/>
            <rFont val="Tahoma"/>
            <family val="2"/>
          </rPr>
          <t>John Lemmons:</t>
        </r>
        <r>
          <rPr>
            <sz val="9"/>
            <color indexed="81"/>
            <rFont val="Tahoma"/>
            <family val="2"/>
          </rPr>
          <t xml:space="preserve">
Counts either "10:00 PM" from the Start column or "10PM-6AM" from the End column. 
</t>
        </r>
      </text>
    </comment>
    <comment ref="R74" authorId="3" shapeId="0">
      <text>
        <r>
          <rPr>
            <b/>
            <sz val="9"/>
            <color indexed="81"/>
            <rFont val="Tahoma"/>
            <family val="2"/>
          </rPr>
          <t>John Lemmons:</t>
        </r>
        <r>
          <rPr>
            <sz val="9"/>
            <color indexed="81"/>
            <rFont val="Tahoma"/>
            <family val="2"/>
          </rPr>
          <t xml:space="preserve">
Counts either "10:00 PM" from the Start column or "10PM-6AM" from the End column. 
</t>
        </r>
      </text>
    </comment>
    <comment ref="U74" authorId="3" shapeId="0">
      <text>
        <r>
          <rPr>
            <b/>
            <sz val="9"/>
            <color indexed="81"/>
            <rFont val="Tahoma"/>
            <family val="2"/>
          </rPr>
          <t>John Lemmons:</t>
        </r>
        <r>
          <rPr>
            <sz val="9"/>
            <color indexed="81"/>
            <rFont val="Tahoma"/>
            <family val="2"/>
          </rPr>
          <t xml:space="preserve">
Counts either "10:00 PM" from the Start column or "10PM-6AM" from the End column. 
</t>
        </r>
      </text>
    </comment>
    <comment ref="X74" authorId="3" shapeId="0">
      <text>
        <r>
          <rPr>
            <b/>
            <sz val="9"/>
            <color indexed="81"/>
            <rFont val="Tahoma"/>
            <family val="2"/>
          </rPr>
          <t>John Lemmons:</t>
        </r>
        <r>
          <rPr>
            <sz val="9"/>
            <color indexed="81"/>
            <rFont val="Tahoma"/>
            <family val="2"/>
          </rPr>
          <t xml:space="preserve">
Counts either "10:00 PM" from the Start column or "10PM-6AM" from the End column. 
</t>
        </r>
      </text>
    </comment>
    <comment ref="AH74" authorId="3" shapeId="0">
      <text>
        <r>
          <rPr>
            <b/>
            <sz val="9"/>
            <color indexed="81"/>
            <rFont val="Tahoma"/>
            <family val="2"/>
          </rPr>
          <t>John Lemmons:</t>
        </r>
        <r>
          <rPr>
            <sz val="9"/>
            <color indexed="81"/>
            <rFont val="Tahoma"/>
            <family val="2"/>
          </rPr>
          <t xml:space="preserve">
Counts either "10:00 PM" from the Start column or "10PM-6AM" from the End column. 
</t>
        </r>
      </text>
    </comment>
    <comment ref="AK74" authorId="3" shapeId="0">
      <text>
        <r>
          <rPr>
            <b/>
            <sz val="9"/>
            <color indexed="81"/>
            <rFont val="Tahoma"/>
            <family val="2"/>
          </rPr>
          <t>John Lemmons:</t>
        </r>
        <r>
          <rPr>
            <sz val="9"/>
            <color indexed="81"/>
            <rFont val="Tahoma"/>
            <family val="2"/>
          </rPr>
          <t xml:space="preserve">
Counts either "10:00 PM" from the Start column or "10PM-6AM" from the End column. 
</t>
        </r>
      </text>
    </comment>
    <comment ref="AN74" authorId="3" shapeId="0">
      <text>
        <r>
          <rPr>
            <b/>
            <sz val="9"/>
            <color indexed="81"/>
            <rFont val="Tahoma"/>
            <family val="2"/>
          </rPr>
          <t>John Lemmons:</t>
        </r>
        <r>
          <rPr>
            <sz val="9"/>
            <color indexed="81"/>
            <rFont val="Tahoma"/>
            <family val="2"/>
          </rPr>
          <t xml:space="preserve">
Counts either "10:00 PM" from the Start column or "10PM-6AM" from the End column. 
</t>
        </r>
      </text>
    </comment>
    <comment ref="AQ74" authorId="3" shapeId="0">
      <text>
        <r>
          <rPr>
            <b/>
            <sz val="9"/>
            <color indexed="81"/>
            <rFont val="Tahoma"/>
            <family val="2"/>
          </rPr>
          <t>John Lemmons:</t>
        </r>
        <r>
          <rPr>
            <sz val="9"/>
            <color indexed="81"/>
            <rFont val="Tahoma"/>
            <family val="2"/>
          </rPr>
          <t xml:space="preserve">
Counts either "10:00 PM" from the Start column or "10PM-6AM" from the End column. 
</t>
        </r>
      </text>
    </comment>
    <comment ref="AT74" authorId="3" shapeId="0">
      <text>
        <r>
          <rPr>
            <b/>
            <sz val="9"/>
            <color indexed="81"/>
            <rFont val="Tahoma"/>
            <family val="2"/>
          </rPr>
          <t>John Lemmons:</t>
        </r>
        <r>
          <rPr>
            <sz val="9"/>
            <color indexed="81"/>
            <rFont val="Tahoma"/>
            <family val="2"/>
          </rPr>
          <t xml:space="preserve">
Counts either "10:00 PM" from the Start column or "10PM-6AM" from the End column. 
</t>
        </r>
      </text>
    </comment>
  </commentList>
</comments>
</file>

<file path=xl/comments2.xml><?xml version="1.0" encoding="utf-8"?>
<comments xmlns="http://schemas.openxmlformats.org/spreadsheetml/2006/main">
  <authors>
    <author>Amberlee Sorensen</author>
    <author>Stephen Stroup</author>
    <author>Tom Montague</author>
    <author>Aaron Bower</author>
    <author>Sharla Tucker</author>
  </authors>
  <commentList>
    <comment ref="CH7" authorId="0" shapeId="0">
      <text>
        <r>
          <rPr>
            <b/>
            <sz val="9"/>
            <color indexed="81"/>
            <rFont val="Tahoma"/>
            <family val="2"/>
          </rPr>
          <t>Amberlee Sorensen:</t>
        </r>
        <r>
          <rPr>
            <sz val="9"/>
            <color indexed="81"/>
            <rFont val="Tahoma"/>
            <family val="2"/>
          </rPr>
          <t xml:space="preserve">
Stated he would be available for part of the day on Saturday
</t>
        </r>
      </text>
    </comment>
    <comment ref="CP7" authorId="1" shapeId="0">
      <text>
        <r>
          <rPr>
            <b/>
            <sz val="9"/>
            <color indexed="81"/>
            <rFont val="Tahoma"/>
            <family val="2"/>
          </rPr>
          <t>Stephen Stroup:</t>
        </r>
        <r>
          <rPr>
            <sz val="9"/>
            <color indexed="81"/>
            <rFont val="Tahoma"/>
            <family val="2"/>
          </rPr>
          <t xml:space="preserve">
OC for 12 hours Sunday.
</t>
        </r>
      </text>
    </comment>
    <comment ref="CQ7" authorId="0" shapeId="0">
      <text>
        <r>
          <rPr>
            <b/>
            <sz val="9"/>
            <color indexed="81"/>
            <rFont val="Tahoma"/>
            <family val="2"/>
          </rPr>
          <t>Amberlee Sorensen:</t>
        </r>
        <r>
          <rPr>
            <sz val="9"/>
            <color indexed="81"/>
            <rFont val="Tahoma"/>
            <family val="2"/>
          </rPr>
          <t xml:space="preserve">
OC for 12 hours on Sunday</t>
        </r>
      </text>
    </comment>
    <comment ref="CR7" authorId="2" shapeId="0">
      <text>
        <r>
          <rPr>
            <b/>
            <sz val="9"/>
            <color indexed="81"/>
            <rFont val="Tahoma"/>
            <family val="2"/>
          </rPr>
          <t>Tom Montague:</t>
        </r>
        <r>
          <rPr>
            <sz val="9"/>
            <color indexed="81"/>
            <rFont val="Tahoma"/>
            <family val="2"/>
          </rPr>
          <t xml:space="preserve">
On Call 12 hours for Saturday
</t>
        </r>
      </text>
    </comment>
    <comment ref="CS7" authorId="0" shapeId="0">
      <text>
        <r>
          <rPr>
            <b/>
            <sz val="9"/>
            <color indexed="81"/>
            <rFont val="Tahoma"/>
            <family val="2"/>
          </rPr>
          <t>Amberlee Sorensen:</t>
        </r>
        <r>
          <rPr>
            <sz val="9"/>
            <color indexed="81"/>
            <rFont val="Tahoma"/>
            <family val="2"/>
          </rPr>
          <t xml:space="preserve">
OC for 12 hours on Sunday
</t>
        </r>
      </text>
    </comment>
    <comment ref="CT7" authorId="0" shapeId="0">
      <text>
        <r>
          <rPr>
            <b/>
            <sz val="9"/>
            <color indexed="81"/>
            <rFont val="Tahoma"/>
            <family val="2"/>
          </rPr>
          <t>Amberlee Sorensen:</t>
        </r>
        <r>
          <rPr>
            <sz val="9"/>
            <color indexed="81"/>
            <rFont val="Tahoma"/>
            <family val="2"/>
          </rPr>
          <t xml:space="preserve">
OC for 12 hours on Sunday
</t>
        </r>
      </text>
    </comment>
    <comment ref="DG7" authorId="3" shapeId="0">
      <text>
        <r>
          <rPr>
            <b/>
            <sz val="9"/>
            <color indexed="81"/>
            <rFont val="Tahoma"/>
            <family val="2"/>
          </rPr>
          <t>Sharla Tucker:</t>
        </r>
        <r>
          <rPr>
            <sz val="9"/>
            <color indexed="81"/>
            <rFont val="Tahoma"/>
            <family val="2"/>
          </rPr>
          <t xml:space="preserve">
On Call 12 hrs Sunday
</t>
        </r>
      </text>
    </comment>
    <comment ref="CY9" authorId="1" shapeId="0">
      <text>
        <r>
          <rPr>
            <b/>
            <sz val="9"/>
            <color indexed="81"/>
            <rFont val="Tahoma"/>
            <family val="2"/>
          </rPr>
          <t>Stephen Stroup:</t>
        </r>
        <r>
          <rPr>
            <sz val="9"/>
            <color indexed="81"/>
            <rFont val="Tahoma"/>
            <family val="2"/>
          </rPr>
          <t xml:space="preserve">
On call 12 hours Saturday
</t>
        </r>
      </text>
    </comment>
    <comment ref="DD9" authorId="3" shapeId="0">
      <text>
        <r>
          <rPr>
            <b/>
            <sz val="9"/>
            <color indexed="81"/>
            <rFont val="Tahoma"/>
            <family val="2"/>
          </rPr>
          <t>Aaron Bower:</t>
        </r>
        <r>
          <rPr>
            <sz val="9"/>
            <color indexed="81"/>
            <rFont val="Tahoma"/>
            <family val="2"/>
          </rPr>
          <t xml:space="preserve">
On Call 12 hrs Saturday
</t>
        </r>
      </text>
    </comment>
    <comment ref="DG9" authorId="3" shapeId="0">
      <text>
        <r>
          <rPr>
            <b/>
            <sz val="9"/>
            <color indexed="81"/>
            <rFont val="Tahoma"/>
            <family val="2"/>
          </rPr>
          <t>Sharla Tucker:</t>
        </r>
        <r>
          <rPr>
            <sz val="9"/>
            <color indexed="81"/>
            <rFont val="Tahoma"/>
            <family val="2"/>
          </rPr>
          <t xml:space="preserve">
On Call 12 hrs Saturday
</t>
        </r>
      </text>
    </comment>
    <comment ref="CT19" authorId="0" shapeId="0">
      <text>
        <r>
          <rPr>
            <b/>
            <sz val="9"/>
            <color indexed="81"/>
            <rFont val="Tahoma"/>
            <family val="2"/>
          </rPr>
          <t>Amberlee Sorensen:</t>
        </r>
        <r>
          <rPr>
            <sz val="9"/>
            <color indexed="81"/>
            <rFont val="Tahoma"/>
            <family val="2"/>
          </rPr>
          <t xml:space="preserve">
OC for 12 hours on Saturday
</t>
        </r>
      </text>
    </comment>
    <comment ref="CX19" authorId="1" shapeId="0">
      <text>
        <r>
          <rPr>
            <b/>
            <sz val="9"/>
            <color indexed="81"/>
            <rFont val="Tahoma"/>
            <family val="2"/>
          </rPr>
          <t>Stephen Stroup:</t>
        </r>
        <r>
          <rPr>
            <sz val="9"/>
            <color indexed="81"/>
            <rFont val="Tahoma"/>
            <family val="2"/>
          </rPr>
          <t xml:space="preserve">
On call 12 hours Saturday
</t>
        </r>
      </text>
    </comment>
    <comment ref="DC19" authorId="3" shapeId="0">
      <text>
        <r>
          <rPr>
            <b/>
            <sz val="9"/>
            <color indexed="81"/>
            <rFont val="Tahoma"/>
            <family val="2"/>
          </rPr>
          <t>Aaron Bower:</t>
        </r>
        <r>
          <rPr>
            <sz val="9"/>
            <color indexed="81"/>
            <rFont val="Tahoma"/>
            <family val="2"/>
          </rPr>
          <t xml:space="preserve">
On call 12 hours Saturday
</t>
        </r>
      </text>
    </comment>
    <comment ref="CU32" authorId="0" shapeId="0">
      <text>
        <r>
          <rPr>
            <b/>
            <sz val="9"/>
            <color indexed="81"/>
            <rFont val="Tahoma"/>
            <family val="2"/>
          </rPr>
          <t>Amberlee Sorensen:</t>
        </r>
        <r>
          <rPr>
            <sz val="9"/>
            <color indexed="81"/>
            <rFont val="Tahoma"/>
            <family val="2"/>
          </rPr>
          <t xml:space="preserve">
OC for 12 hours on Saturday
</t>
        </r>
      </text>
    </comment>
    <comment ref="CS33" authorId="1" shapeId="0">
      <text>
        <r>
          <rPr>
            <b/>
            <sz val="9"/>
            <color indexed="81"/>
            <rFont val="Tahoma"/>
            <family val="2"/>
          </rPr>
          <t>Stephen Stroup:</t>
        </r>
        <r>
          <rPr>
            <sz val="9"/>
            <color indexed="81"/>
            <rFont val="Tahoma"/>
            <family val="2"/>
          </rPr>
          <t xml:space="preserve">
On call Saturday, 12 hours
</t>
        </r>
      </text>
    </comment>
    <comment ref="CU38" authorId="0" shapeId="0">
      <text>
        <r>
          <rPr>
            <b/>
            <sz val="9"/>
            <color indexed="81"/>
            <rFont val="Tahoma"/>
            <family val="2"/>
          </rPr>
          <t>Amberlee Sorensen:</t>
        </r>
        <r>
          <rPr>
            <sz val="9"/>
            <color indexed="81"/>
            <rFont val="Tahoma"/>
            <family val="2"/>
          </rPr>
          <t xml:space="preserve">
OC for 12 hours on Saturday
</t>
        </r>
      </text>
    </comment>
    <comment ref="CV38" authorId="0" shapeId="0">
      <text>
        <r>
          <rPr>
            <b/>
            <sz val="9"/>
            <color indexed="81"/>
            <rFont val="Tahoma"/>
            <family val="2"/>
          </rPr>
          <t>Amberlee Sorensen:</t>
        </r>
        <r>
          <rPr>
            <sz val="9"/>
            <color indexed="81"/>
            <rFont val="Tahoma"/>
            <family val="2"/>
          </rPr>
          <t xml:space="preserve">
OC for 12 hours on Sunday
</t>
        </r>
      </text>
    </comment>
    <comment ref="CZ38" authorId="1" shapeId="0">
      <text>
        <r>
          <rPr>
            <b/>
            <sz val="9"/>
            <color indexed="81"/>
            <rFont val="Tahoma"/>
            <family val="2"/>
          </rPr>
          <t>Stephen Stroup:</t>
        </r>
        <r>
          <rPr>
            <sz val="9"/>
            <color indexed="81"/>
            <rFont val="Tahoma"/>
            <family val="2"/>
          </rPr>
          <t xml:space="preserve">
On call 12 hours Saturday
</t>
        </r>
      </text>
    </comment>
    <comment ref="CS41" authorId="4" shapeId="0">
      <text>
        <r>
          <rPr>
            <b/>
            <sz val="9"/>
            <color indexed="81"/>
            <rFont val="Tahoma"/>
            <family val="2"/>
          </rPr>
          <t>Sharla Tucker:</t>
        </r>
        <r>
          <rPr>
            <sz val="9"/>
            <color indexed="81"/>
            <rFont val="Tahoma"/>
            <family val="2"/>
          </rPr>
          <t xml:space="preserve">
OC for 6 hours on Saturday
</t>
        </r>
      </text>
    </comment>
    <comment ref="CY41" authorId="1" shapeId="0">
      <text>
        <r>
          <rPr>
            <b/>
            <sz val="9"/>
            <color indexed="81"/>
            <rFont val="Tahoma"/>
            <family val="2"/>
          </rPr>
          <t>Stephen Stroup:</t>
        </r>
        <r>
          <rPr>
            <sz val="9"/>
            <color indexed="81"/>
            <rFont val="Tahoma"/>
            <family val="2"/>
          </rPr>
          <t xml:space="preserve">
On call 12 hours Sunday
</t>
        </r>
      </text>
    </comment>
    <comment ref="DC41" authorId="3" shapeId="0">
      <text>
        <r>
          <rPr>
            <b/>
            <sz val="9"/>
            <color indexed="81"/>
            <rFont val="Tahoma"/>
            <family val="2"/>
          </rPr>
          <t>Aaron Bower:</t>
        </r>
        <r>
          <rPr>
            <sz val="9"/>
            <color indexed="81"/>
            <rFont val="Tahoma"/>
            <family val="2"/>
          </rPr>
          <t xml:space="preserve">
On call 12 hours Sunday
</t>
        </r>
      </text>
    </comment>
    <comment ref="CP48" authorId="1" shapeId="0">
      <text>
        <r>
          <rPr>
            <b/>
            <sz val="9"/>
            <color indexed="81"/>
            <rFont val="Tahoma"/>
            <family val="2"/>
          </rPr>
          <t>Stephen Stroup:</t>
        </r>
        <r>
          <rPr>
            <sz val="9"/>
            <color indexed="81"/>
            <rFont val="Tahoma"/>
            <family val="2"/>
          </rPr>
          <t xml:space="preserve">
OC Saturday for 12 hours</t>
        </r>
      </text>
    </comment>
    <comment ref="CU48" authorId="0" shapeId="0">
      <text>
        <r>
          <rPr>
            <b/>
            <sz val="9"/>
            <color indexed="81"/>
            <rFont val="Tahoma"/>
            <family val="2"/>
          </rPr>
          <t>Amberlee Sorensen:</t>
        </r>
        <r>
          <rPr>
            <sz val="9"/>
            <color indexed="81"/>
            <rFont val="Tahoma"/>
            <family val="2"/>
          </rPr>
          <t xml:space="preserve">
OC for 12 hours on Sunday
</t>
        </r>
      </text>
    </comment>
    <comment ref="CW48" authorId="0" shapeId="0">
      <text>
        <r>
          <rPr>
            <b/>
            <sz val="9"/>
            <color indexed="81"/>
            <rFont val="Tahoma"/>
            <family val="2"/>
          </rPr>
          <t>Amberlee Sorensen:</t>
        </r>
        <r>
          <rPr>
            <sz val="9"/>
            <color indexed="81"/>
            <rFont val="Tahoma"/>
            <family val="2"/>
          </rPr>
          <t xml:space="preserve">
OC for 12 hours on Saturday
</t>
        </r>
      </text>
    </comment>
    <comment ref="DA48" authorId="1" shapeId="0">
      <text>
        <r>
          <rPr>
            <b/>
            <sz val="9"/>
            <color indexed="81"/>
            <rFont val="Tahoma"/>
            <family val="2"/>
          </rPr>
          <t>Stephen Stroup:</t>
        </r>
        <r>
          <rPr>
            <sz val="9"/>
            <color indexed="81"/>
            <rFont val="Tahoma"/>
            <family val="2"/>
          </rPr>
          <t xml:space="preserve">
On call 12 hours Sunday
</t>
        </r>
      </text>
    </comment>
    <comment ref="CV50" authorId="0" shapeId="0">
      <text>
        <r>
          <rPr>
            <b/>
            <sz val="9"/>
            <color indexed="81"/>
            <rFont val="Tahoma"/>
            <family val="2"/>
          </rPr>
          <t>Amberlee Sorensen:</t>
        </r>
        <r>
          <rPr>
            <sz val="9"/>
            <color indexed="81"/>
            <rFont val="Tahoma"/>
            <family val="2"/>
          </rPr>
          <t xml:space="preserve">
OC for 12 hours on Saturday
</t>
        </r>
      </text>
    </comment>
    <comment ref="CZ50" authorId="1" shapeId="0">
      <text>
        <r>
          <rPr>
            <b/>
            <sz val="9"/>
            <color indexed="81"/>
            <rFont val="Tahoma"/>
            <family val="2"/>
          </rPr>
          <t>Stephen Stroup:</t>
        </r>
        <r>
          <rPr>
            <sz val="9"/>
            <color indexed="81"/>
            <rFont val="Tahoma"/>
            <family val="2"/>
          </rPr>
          <t xml:space="preserve">
On call 12 hours Sunday
</t>
        </r>
      </text>
    </comment>
    <comment ref="DF50" authorId="3" shapeId="0">
      <text>
        <r>
          <rPr>
            <b/>
            <sz val="9"/>
            <color indexed="81"/>
            <rFont val="Tahoma"/>
            <family val="2"/>
          </rPr>
          <t>Sharla Tucker:</t>
        </r>
        <r>
          <rPr>
            <sz val="9"/>
            <color indexed="81"/>
            <rFont val="Tahoma"/>
            <family val="2"/>
          </rPr>
          <t xml:space="preserve">
On Call 12 hrs Sunday
</t>
        </r>
        <r>
          <rPr>
            <b/>
            <sz val="9"/>
            <color indexed="81"/>
            <rFont val="Tahoma"/>
            <family val="2"/>
          </rPr>
          <t>Stephen Stroup:</t>
        </r>
        <r>
          <rPr>
            <sz val="9"/>
            <color indexed="81"/>
            <rFont val="Tahoma"/>
            <family val="2"/>
          </rPr>
          <t xml:space="preserve">
On Call 12 hrs Saturday as well
</t>
        </r>
      </text>
    </comment>
    <comment ref="A52" authorId="1" shapeId="0">
      <text>
        <r>
          <rPr>
            <b/>
            <sz val="9"/>
            <color indexed="81"/>
            <rFont val="Tahoma"/>
            <family val="2"/>
          </rPr>
          <t>Stephen Stroup:</t>
        </r>
        <r>
          <rPr>
            <sz val="9"/>
            <color indexed="81"/>
            <rFont val="Tahoma"/>
            <family val="2"/>
          </rPr>
          <t xml:space="preserve">
Prefers Sat over Sun
</t>
        </r>
      </text>
    </comment>
    <comment ref="CX60" authorId="1" shapeId="0">
      <text>
        <r>
          <rPr>
            <b/>
            <sz val="9"/>
            <color indexed="81"/>
            <rFont val="Tahoma"/>
            <family val="2"/>
          </rPr>
          <t>Stephen Stroup:</t>
        </r>
        <r>
          <rPr>
            <sz val="9"/>
            <color indexed="81"/>
            <rFont val="Tahoma"/>
            <family val="2"/>
          </rPr>
          <t xml:space="preserve">
On call 12 hours Saturday
</t>
        </r>
      </text>
    </comment>
    <comment ref="DE60" authorId="3" shapeId="0">
      <text>
        <r>
          <rPr>
            <b/>
            <sz val="9"/>
            <color indexed="81"/>
            <rFont val="Tahoma"/>
            <family val="2"/>
          </rPr>
          <t>Aaron Bower:</t>
        </r>
        <r>
          <rPr>
            <sz val="9"/>
            <color indexed="81"/>
            <rFont val="Tahoma"/>
            <family val="2"/>
          </rPr>
          <t xml:space="preserve">
On Call 12 hrs Saturday
</t>
        </r>
      </text>
    </comment>
    <comment ref="CQ64" authorId="0" shapeId="0">
      <text>
        <r>
          <rPr>
            <b/>
            <sz val="9"/>
            <color indexed="81"/>
            <rFont val="Tahoma"/>
            <family val="2"/>
          </rPr>
          <t>Amberlee Sorensen:</t>
        </r>
        <r>
          <rPr>
            <sz val="9"/>
            <color indexed="81"/>
            <rFont val="Tahoma"/>
            <family val="2"/>
          </rPr>
          <t xml:space="preserve">
Not in the bonus sheet but stated he would be willing to work this weekend if needed. Was available a few times but also not at other times when there was a need. 
</t>
        </r>
      </text>
    </comment>
    <comment ref="CW64" authorId="0" shapeId="0">
      <text>
        <r>
          <rPr>
            <b/>
            <sz val="9"/>
            <color indexed="81"/>
            <rFont val="Tahoma"/>
            <family val="2"/>
          </rPr>
          <t>Amberlee Sorensen:</t>
        </r>
        <r>
          <rPr>
            <sz val="9"/>
            <color indexed="81"/>
            <rFont val="Tahoma"/>
            <family val="2"/>
          </rPr>
          <t xml:space="preserve">
OC for 12 hours on Sunday
</t>
        </r>
      </text>
    </comment>
    <comment ref="DA64" authorId="1" shapeId="0">
      <text>
        <r>
          <rPr>
            <b/>
            <sz val="9"/>
            <color indexed="81"/>
            <rFont val="Tahoma"/>
            <family val="2"/>
          </rPr>
          <t>Stephen Stroup:</t>
        </r>
        <r>
          <rPr>
            <sz val="9"/>
            <color indexed="81"/>
            <rFont val="Tahoma"/>
            <family val="2"/>
          </rPr>
          <t xml:space="preserve">
On call 12 hours Saturday
</t>
        </r>
      </text>
    </comment>
    <comment ref="CX67" authorId="1" shapeId="0">
      <text>
        <r>
          <rPr>
            <b/>
            <sz val="9"/>
            <color indexed="81"/>
            <rFont val="Tahoma"/>
            <family val="2"/>
          </rPr>
          <t>Stephen Stroup:</t>
        </r>
        <r>
          <rPr>
            <sz val="9"/>
            <color indexed="81"/>
            <rFont val="Tahoma"/>
            <family val="2"/>
          </rPr>
          <t xml:space="preserve">
Scheduled for Sunday, but ended up swapping with Tregan
</t>
        </r>
      </text>
    </comment>
    <comment ref="CS69" authorId="0" shapeId="0">
      <text>
        <r>
          <rPr>
            <b/>
            <sz val="9"/>
            <color indexed="81"/>
            <rFont val="Tahoma"/>
            <family val="2"/>
          </rPr>
          <t>Amberlee Sorensen:</t>
        </r>
        <r>
          <rPr>
            <sz val="9"/>
            <color indexed="81"/>
            <rFont val="Tahoma"/>
            <family val="2"/>
          </rPr>
          <t xml:space="preserve">
OC for 6 hours on Saturday
</t>
        </r>
      </text>
    </comment>
    <comment ref="CV69" authorId="0" shapeId="0">
      <text>
        <r>
          <rPr>
            <b/>
            <sz val="9"/>
            <color indexed="81"/>
            <rFont val="Tahoma"/>
            <family val="2"/>
          </rPr>
          <t>Amberlee Sorensen:</t>
        </r>
        <r>
          <rPr>
            <sz val="9"/>
            <color indexed="81"/>
            <rFont val="Tahoma"/>
            <family val="2"/>
          </rPr>
          <t xml:space="preserve">
OC for 12 hours on Saturday
</t>
        </r>
      </text>
    </comment>
    <comment ref="DD69" authorId="3" shapeId="0">
      <text>
        <r>
          <rPr>
            <b/>
            <sz val="9"/>
            <color indexed="81"/>
            <rFont val="Tahoma"/>
            <family val="2"/>
          </rPr>
          <t>Aaron Bower:</t>
        </r>
        <r>
          <rPr>
            <sz val="9"/>
            <color indexed="81"/>
            <rFont val="Tahoma"/>
            <family val="2"/>
          </rPr>
          <t xml:space="preserve">
On Call 12 hrs Sunday
</t>
        </r>
      </text>
    </comment>
    <comment ref="CQ76" authorId="0" shapeId="0">
      <text>
        <r>
          <rPr>
            <b/>
            <sz val="9"/>
            <color indexed="81"/>
            <rFont val="Tahoma"/>
            <family val="2"/>
          </rPr>
          <t>Amberlee Sorensen:</t>
        </r>
        <r>
          <rPr>
            <sz val="9"/>
            <color indexed="81"/>
            <rFont val="Tahoma"/>
            <family val="2"/>
          </rPr>
          <t xml:space="preserve">
OC for 12 hours on Sunday
</t>
        </r>
        <r>
          <rPr>
            <b/>
            <sz val="9"/>
            <color indexed="81"/>
            <rFont val="Tahoma"/>
            <family val="2"/>
          </rPr>
          <t>Amberlee Sorensen:</t>
        </r>
        <r>
          <rPr>
            <sz val="9"/>
            <color indexed="81"/>
            <rFont val="Tahoma"/>
            <family val="2"/>
          </rPr>
          <t xml:space="preserve">
never responded to reuest when needed
</t>
        </r>
      </text>
    </comment>
    <comment ref="CX76" authorId="1" shapeId="0">
      <text>
        <r>
          <rPr>
            <b/>
            <sz val="9"/>
            <color indexed="81"/>
            <rFont val="Tahoma"/>
            <family val="2"/>
          </rPr>
          <t>Stephen Stroup:</t>
        </r>
        <r>
          <rPr>
            <sz val="9"/>
            <color indexed="81"/>
            <rFont val="Tahoma"/>
            <family val="2"/>
          </rPr>
          <t xml:space="preserve">
On call 12 hours Sunday
</t>
        </r>
      </text>
    </comment>
    <comment ref="DE76" authorId="3" shapeId="0">
      <text>
        <r>
          <rPr>
            <b/>
            <sz val="9"/>
            <color indexed="81"/>
            <rFont val="Tahoma"/>
            <family val="2"/>
          </rPr>
          <t>Aaron Bower:</t>
        </r>
        <r>
          <rPr>
            <sz val="9"/>
            <color indexed="81"/>
            <rFont val="Tahoma"/>
            <family val="2"/>
          </rPr>
          <t xml:space="preserve">
On Call 12 hrs Sunday
</t>
        </r>
      </text>
    </comment>
    <comment ref="CW80" authorId="0" shapeId="0">
      <text>
        <r>
          <rPr>
            <b/>
            <sz val="9"/>
            <color indexed="81"/>
            <rFont val="Tahoma"/>
            <family val="2"/>
          </rPr>
          <t>Amberlee Sorensen:</t>
        </r>
        <r>
          <rPr>
            <sz val="9"/>
            <color indexed="81"/>
            <rFont val="Tahoma"/>
            <family val="2"/>
          </rPr>
          <t xml:space="preserve">
OC for 12 hours on Saturday
</t>
        </r>
      </text>
    </comment>
  </commentList>
</comments>
</file>

<file path=xl/sharedStrings.xml><?xml version="1.0" encoding="utf-8"?>
<sst xmlns="http://schemas.openxmlformats.org/spreadsheetml/2006/main" count="1948" uniqueCount="293">
  <si>
    <t>Connie Neil</t>
  </si>
  <si>
    <t>Gabe Partridge</t>
  </si>
  <si>
    <t>Monday</t>
  </si>
  <si>
    <t>Tuesday</t>
  </si>
  <si>
    <t>Thursday</t>
  </si>
  <si>
    <t>Friday</t>
  </si>
  <si>
    <t>Sunday</t>
  </si>
  <si>
    <t>OFF</t>
  </si>
  <si>
    <t>G.L. Anderson</t>
  </si>
  <si>
    <t>Saturday</t>
  </si>
  <si>
    <t>Pay Period</t>
  </si>
  <si>
    <t>Wednesday</t>
  </si>
  <si>
    <t>John</t>
  </si>
  <si>
    <t>x</t>
  </si>
  <si>
    <t>START</t>
  </si>
  <si>
    <t>END</t>
  </si>
  <si>
    <t>REQ OFF</t>
  </si>
  <si>
    <t>Chat</t>
  </si>
  <si>
    <t>Phone</t>
  </si>
  <si>
    <t>APPR OFF</t>
  </si>
  <si>
    <t>UNAVAILABLE</t>
  </si>
  <si>
    <t>GRAVE</t>
  </si>
  <si>
    <t>SWING</t>
  </si>
  <si>
    <t>WEEKEND MORN</t>
  </si>
  <si>
    <t>PAID HOLIDAY</t>
  </si>
  <si>
    <t>Unplanned</t>
  </si>
  <si>
    <t>Absence</t>
  </si>
  <si>
    <t>Brian Goodrich</t>
  </si>
  <si>
    <t>Kade Wood</t>
  </si>
  <si>
    <t>Grave</t>
  </si>
  <si>
    <t>L3</t>
  </si>
  <si>
    <t>L2</t>
  </si>
  <si>
    <t>Lvl</t>
  </si>
  <si>
    <t>Super</t>
  </si>
  <si>
    <t>Elaine Evertsen</t>
  </si>
  <si>
    <t>Start</t>
  </si>
  <si>
    <t>HOLIDAY</t>
  </si>
  <si>
    <t>Gabriel Gerena</t>
  </si>
  <si>
    <t>Scheduling Calculator</t>
  </si>
  <si>
    <t>L1</t>
  </si>
  <si>
    <t>Total Techs</t>
  </si>
  <si>
    <t>Total L1/L2</t>
  </si>
  <si>
    <t>Chat %</t>
  </si>
  <si>
    <t>Time</t>
  </si>
  <si>
    <t>End</t>
  </si>
  <si>
    <t>L</t>
  </si>
  <si>
    <t>Total</t>
  </si>
  <si>
    <t>Techs</t>
  </si>
  <si>
    <t>Cap.</t>
  </si>
  <si>
    <t xml:space="preserve">6am </t>
  </si>
  <si>
    <t>7am</t>
  </si>
  <si>
    <t>8am</t>
  </si>
  <si>
    <t>9am</t>
  </si>
  <si>
    <t>10am</t>
  </si>
  <si>
    <t>11am</t>
  </si>
  <si>
    <t>12am</t>
  </si>
  <si>
    <t>1pm</t>
  </si>
  <si>
    <t>2pm</t>
  </si>
  <si>
    <t>3pm</t>
  </si>
  <si>
    <t>4pm</t>
  </si>
  <si>
    <t>5pm</t>
  </si>
  <si>
    <t xml:space="preserve">Swing </t>
  </si>
  <si>
    <t>Factors</t>
  </si>
  <si>
    <t>% Chat Staff</t>
  </si>
  <si>
    <t>% Phone Staff</t>
  </si>
  <si>
    <t>Chat Prod.</t>
  </si>
  <si>
    <t>Phone Prod.</t>
  </si>
  <si>
    <t>Chats/Hr/Tech</t>
  </si>
  <si>
    <t>Phone/Hr/Tech</t>
  </si>
  <si>
    <t>Absence/Hr</t>
  </si>
  <si>
    <t xml:space="preserve">Last Updated: </t>
  </si>
  <si>
    <t>Allstate</t>
  </si>
  <si>
    <t>Tom</t>
  </si>
  <si>
    <t>5am</t>
  </si>
  <si>
    <t>6pm</t>
  </si>
  <si>
    <t>Ryan Crimm</t>
  </si>
  <si>
    <t>Gary Kiester</t>
  </si>
  <si>
    <t>Steven Radulovich</t>
  </si>
  <si>
    <t>Date Range</t>
  </si>
  <si>
    <t>7pm</t>
  </si>
  <si>
    <t>7a-3p</t>
  </si>
  <si>
    <t>Allstate PH</t>
  </si>
  <si>
    <t>OFF WKND</t>
  </si>
  <si>
    <t>Nick Smith</t>
  </si>
  <si>
    <t>Amberlee Sorensen</t>
  </si>
  <si>
    <t>Todd Potempa</t>
  </si>
  <si>
    <t>10PM-6AM</t>
  </si>
  <si>
    <t>Paul Soares</t>
  </si>
  <si>
    <t>Quincy Fowler</t>
  </si>
  <si>
    <t>2PM-10PM</t>
  </si>
  <si>
    <t>Matt</t>
  </si>
  <si>
    <t>Blake Locke</t>
  </si>
  <si>
    <t>Philip Lundgren</t>
  </si>
  <si>
    <t>Aaron Bower</t>
  </si>
  <si>
    <t>Weekday Count</t>
  </si>
  <si>
    <t>Agent Count</t>
  </si>
  <si>
    <t>Agent</t>
  </si>
  <si>
    <t>Nickolai Mullen</t>
  </si>
  <si>
    <t>Michael Bacera</t>
  </si>
  <si>
    <t>Connor Taylor</t>
  </si>
  <si>
    <t>Taylor Stewart</t>
  </si>
  <si>
    <t>Jacob Rucker</t>
  </si>
  <si>
    <t>Morning</t>
  </si>
  <si>
    <t>Mid</t>
  </si>
  <si>
    <t>Swing</t>
  </si>
  <si>
    <t>6AM-2PM</t>
  </si>
  <si>
    <t>Ed Baron</t>
  </si>
  <si>
    <t>New</t>
  </si>
  <si>
    <t>Westly Smyth</t>
  </si>
  <si>
    <t>Ian Bathelt</t>
  </si>
  <si>
    <t>Jared Kartchner</t>
  </si>
  <si>
    <t>Sean VanBuskirk</t>
  </si>
  <si>
    <t>Kaleb Hunter</t>
  </si>
  <si>
    <t>Devin Ellis</t>
  </si>
  <si>
    <t>Kevin Tolman</t>
  </si>
  <si>
    <t>Milena Norton</t>
  </si>
  <si>
    <t>Lunch Duration</t>
  </si>
  <si>
    <t>Scott Thompson</t>
  </si>
  <si>
    <t>Stephen</t>
  </si>
  <si>
    <t>Travis Yoerger</t>
  </si>
  <si>
    <t>Eythan Carter</t>
  </si>
  <si>
    <t>Tim Marshall</t>
  </si>
  <si>
    <t>Downtime</t>
  </si>
  <si>
    <t>Time Starts</t>
  </si>
  <si>
    <t>Time Ends</t>
  </si>
  <si>
    <t>█</t>
  </si>
  <si>
    <t>Jason Smith</t>
  </si>
  <si>
    <t>John Johnson</t>
  </si>
  <si>
    <t>Seth Weinheimer</t>
  </si>
  <si>
    <t>Email Address</t>
  </si>
  <si>
    <t>Include</t>
  </si>
  <si>
    <t>Bryan Andrews</t>
  </si>
  <si>
    <t>Brendon Williams</t>
  </si>
  <si>
    <t>Nick Aufdemorte</t>
  </si>
  <si>
    <t>Schedule for weekends?</t>
  </si>
  <si>
    <t>Last Weekend Worked</t>
  </si>
  <si>
    <t># of weeks since last weekend</t>
  </si>
  <si>
    <t>Static shift</t>
  </si>
  <si>
    <t>Extra Grave</t>
  </si>
  <si>
    <t>y</t>
  </si>
  <si>
    <t>Challis Gatten</t>
  </si>
  <si>
    <t>Terminated</t>
  </si>
  <si>
    <t>No</t>
  </si>
  <si>
    <t>Yes</t>
  </si>
  <si>
    <t>Nicholas Bradberry</t>
  </si>
  <si>
    <t>Mike Smith</t>
  </si>
  <si>
    <t>Eric Smith</t>
  </si>
  <si>
    <t>Brandon Guldenschuh</t>
  </si>
  <si>
    <t>^ Doesn't work if it's shared. Need to unshare or you'll get an error message and no emails will be sent, and no harm done.</t>
  </si>
  <si>
    <t>Nicolas Mitchell</t>
  </si>
  <si>
    <t>James Mitchell</t>
  </si>
  <si>
    <t>Tyler Faile</t>
  </si>
  <si>
    <t>Marco Escobar</t>
  </si>
  <si>
    <t>Amberlee</t>
  </si>
  <si>
    <t>Michael Zanandrea</t>
  </si>
  <si>
    <t>Dexton Armstrong</t>
  </si>
  <si>
    <t>Sharla Tucker</t>
  </si>
  <si>
    <t>Zachary Zendejas</t>
  </si>
  <si>
    <t>Train</t>
  </si>
  <si>
    <t>Brendan Stevens</t>
  </si>
  <si>
    <t>Amber</t>
  </si>
  <si>
    <t>Micah Heaton</t>
  </si>
  <si>
    <t>Called in</t>
  </si>
  <si>
    <t>Came in for an hour</t>
  </si>
  <si>
    <t>SS</t>
  </si>
  <si>
    <t>Goodrich</t>
  </si>
  <si>
    <t>Phillip Stevens</t>
  </si>
  <si>
    <t>Daniel Rich</t>
  </si>
  <si>
    <t>balocke@xactware.com</t>
  </si>
  <si>
    <t>bcstevens@xactware.com</t>
  </si>
  <si>
    <t>crgatten@xactware.com</t>
  </si>
  <si>
    <t>crneil@xactware.com</t>
  </si>
  <si>
    <t>djarmstrong@xactware.com</t>
  </si>
  <si>
    <t>embaron@xactware.com</t>
  </si>
  <si>
    <t>eevertsen@xactware.com</t>
  </si>
  <si>
    <t>ejsmith@xactware.com</t>
  </si>
  <si>
    <t>glanderson@xactware.com</t>
  </si>
  <si>
    <t>gghpartridge@xactware.com</t>
  </si>
  <si>
    <t>grkiester@xactware.com</t>
  </si>
  <si>
    <t>iwbathelt@xactware.com</t>
  </si>
  <si>
    <t>jmmitchell@xactware.com</t>
  </si>
  <si>
    <t>jdkartchner@xactware.com</t>
  </si>
  <si>
    <t>jdsmith@xactware.com</t>
  </si>
  <si>
    <t>kawood@xactware.com</t>
  </si>
  <si>
    <t>kjhunter@xactware.com</t>
  </si>
  <si>
    <t>maescobar@xactware.com</t>
  </si>
  <si>
    <t>maheaton@xactware.com</t>
  </si>
  <si>
    <t>mbzanandrea@xactware.com</t>
  </si>
  <si>
    <t>mmnorton@xactware.com</t>
  </si>
  <si>
    <t>ndsmith@xactware.com</t>
  </si>
  <si>
    <t>ndmullen@xactware.com</t>
  </si>
  <si>
    <t>pesoares@xactware.com</t>
  </si>
  <si>
    <t>pmlundgren@xactware.com</t>
  </si>
  <si>
    <t>rhcrimm@xactware.com</t>
  </si>
  <si>
    <t>sdthompson@xactware.com</t>
  </si>
  <si>
    <t>srvanbuskirk@xactware.com</t>
  </si>
  <si>
    <t>ptstewart@xactware.com</t>
  </si>
  <si>
    <t>tjmarshall@xactware.com</t>
  </si>
  <si>
    <t>jtfaile@xactware.com</t>
  </si>
  <si>
    <t>wgsmyth@xactware.com</t>
  </si>
  <si>
    <t>pgstevens@xactware.com</t>
  </si>
  <si>
    <t>Tyler Clement</t>
  </si>
  <si>
    <t>Jesse Grant</t>
  </si>
  <si>
    <t>jrgrant@xactware.com</t>
  </si>
  <si>
    <t>Chad Robbins</t>
  </si>
  <si>
    <t>Chaise Dale</t>
  </si>
  <si>
    <t>Matt Webber</t>
  </si>
  <si>
    <t>Sup</t>
  </si>
  <si>
    <t>Meagan Capdeville</t>
  </si>
  <si>
    <t>cmdale@xactware.com</t>
  </si>
  <si>
    <t>Aaron</t>
  </si>
  <si>
    <t>Drew Merrill</t>
  </si>
  <si>
    <t>damerrill@xactware.com</t>
  </si>
  <si>
    <t>Su</t>
  </si>
  <si>
    <t>Sa</t>
  </si>
  <si>
    <t>Stephen Taylor</t>
  </si>
  <si>
    <t>N/A</t>
  </si>
  <si>
    <t>DJ Clements</t>
  </si>
  <si>
    <t>djclements@xactware.com</t>
  </si>
  <si>
    <t>Keith Massee</t>
  </si>
  <si>
    <t>Sharla</t>
  </si>
  <si>
    <t>bpgoodrich@xactware.com</t>
  </si>
  <si>
    <t>AUSTRALIA</t>
  </si>
  <si>
    <t>ON CALL</t>
  </si>
  <si>
    <t>Michael Perry</t>
  </si>
  <si>
    <t>OC</t>
  </si>
  <si>
    <t>Jason Melone</t>
  </si>
  <si>
    <t>jpmelone@xactware.com</t>
  </si>
  <si>
    <t>mwperry@xactware.com</t>
  </si>
  <si>
    <t>Matt Gaskin</t>
  </si>
  <si>
    <t>Johan Scholte</t>
  </si>
  <si>
    <t>jjscholte@xactware.com</t>
  </si>
  <si>
    <t>megaskin@xactware.com</t>
  </si>
  <si>
    <t>Karla Armenta</t>
  </si>
  <si>
    <t>Rose Gulley</t>
  </si>
  <si>
    <t>Spencer McCain</t>
  </si>
  <si>
    <t>kjarmenta@xactware.com</t>
  </si>
  <si>
    <t>slmccain@xactware.com</t>
  </si>
  <si>
    <t>Will Burnett</t>
  </si>
  <si>
    <t>wrburnett@xactware.com</t>
  </si>
  <si>
    <t>Bret Rowan</t>
  </si>
  <si>
    <t>bdrowan@xactware.com</t>
  </si>
  <si>
    <t>A</t>
  </si>
  <si>
    <t>Main</t>
  </si>
  <si>
    <t>A█</t>
  </si>
  <si>
    <t>DOWNTIME</t>
  </si>
  <si>
    <t>Abraham Hurtado</t>
  </si>
  <si>
    <t>ajhurtado@xactware.com</t>
  </si>
  <si>
    <t>Tregan Emmett</t>
  </si>
  <si>
    <t>tjemmett@xactware.com</t>
  </si>
  <si>
    <t>Zac Winters</t>
  </si>
  <si>
    <t>znwinters@xactware.com</t>
  </si>
  <si>
    <t>Skyler Gurney</t>
  </si>
  <si>
    <t>Paul Soares *</t>
  </si>
  <si>
    <t>Marco Escobar *</t>
  </si>
  <si>
    <t>Jared Kartchner *</t>
  </si>
  <si>
    <t>Milena Norton *</t>
  </si>
  <si>
    <t>Brendan Stevens *</t>
  </si>
  <si>
    <t>Gabe Partridge *</t>
  </si>
  <si>
    <t>Taylor Stewart *</t>
  </si>
  <si>
    <t>Johan Scholte *</t>
  </si>
  <si>
    <t>Michael Perry *</t>
  </si>
  <si>
    <t>Missing L2?</t>
  </si>
  <si>
    <t>Shifts</t>
  </si>
  <si>
    <t>Micah Heaton*</t>
  </si>
  <si>
    <t>Ty Eckles</t>
  </si>
  <si>
    <t>tleckles@xactware.com</t>
  </si>
  <si>
    <t>Dexton Armstrong *</t>
  </si>
  <si>
    <t>DJ Clements *</t>
  </si>
  <si>
    <t>Sean VanBuskirk*</t>
  </si>
  <si>
    <t xml:space="preserve">Jesse Grant </t>
  </si>
  <si>
    <t>Jerry Hunt</t>
  </si>
  <si>
    <t>jbhunt@xactware.com</t>
  </si>
  <si>
    <t>Sa/Su</t>
  </si>
  <si>
    <t>Tim Hall</t>
  </si>
  <si>
    <t>tmhall@xactware.com</t>
  </si>
  <si>
    <t>TJ Jacobs</t>
  </si>
  <si>
    <t>tpjacobs@xactware.com</t>
  </si>
  <si>
    <t>8a</t>
  </si>
  <si>
    <t>Kenton Bailey</t>
  </si>
  <si>
    <t>tkbailey@xactware.com</t>
  </si>
  <si>
    <t>Cameron Wood</t>
  </si>
  <si>
    <t>cwwood@xactware.com</t>
  </si>
  <si>
    <t>Blaze Chabot</t>
  </si>
  <si>
    <t>bjchabot@xactware.com</t>
  </si>
  <si>
    <t>TBD</t>
  </si>
  <si>
    <t>TRAIN</t>
  </si>
  <si>
    <t>Dutch Neerings</t>
  </si>
  <si>
    <t>Andrew Metcalf</t>
  </si>
  <si>
    <t>almetcalf@xactware.com</t>
  </si>
  <si>
    <t>dcneerings@xactware.com</t>
  </si>
  <si>
    <t xml:space="preserve">Sharla </t>
  </si>
  <si>
    <t>6PM-10PM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</si>
</sst>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[$-409]d\-mmm;@"/>
    <numFmt numFmtId="165" formatCode="[$-409]h:mm\ AM/PM;@"/>
    <numFmt numFmtId="166" formatCode="0.0"/>
    <numFmt numFmtId="167" formatCode="0.0%"/>
    <numFmt numFmtId="168" formatCode="m/d/yy;@"/>
  </numFmts>
  <fonts count="33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8"/>
      <name val="Arial"/>
      <family val="2"/>
    </font>
    <font>
      <sz val="6"/>
      <name val="Arial"/>
      <family val="2"/>
    </font>
    <font>
      <sz val="6"/>
      <name val="Arial"/>
      <family val="2"/>
    </font>
    <font>
      <b/>
      <sz val="6"/>
      <name val="Arial"/>
      <family val="2"/>
    </font>
    <font>
      <sz val="6"/>
      <color indexed="10"/>
      <name val="Arial"/>
      <family val="2"/>
    </font>
    <font>
      <b/>
      <sz val="10"/>
      <color indexed="53"/>
      <name val="Arial"/>
      <family val="2"/>
    </font>
    <font>
      <b/>
      <sz val="6"/>
      <name val="Arial"/>
      <family val="2"/>
    </font>
    <font>
      <sz val="6"/>
      <color indexed="9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theme="0"/>
      <name val="Arial"/>
      <family val="2"/>
    </font>
    <font>
      <b/>
      <sz val="10"/>
      <color rgb="FFFFC000"/>
      <name val="Arial"/>
      <family val="2"/>
    </font>
    <font>
      <sz val="5"/>
      <name val="Arial"/>
      <family val="2"/>
    </font>
    <font>
      <sz val="5"/>
      <color indexed="10"/>
      <name val="Arial"/>
      <family val="2"/>
    </font>
    <font>
      <b/>
      <sz val="5"/>
      <name val="Arial"/>
      <family val="2"/>
    </font>
    <font>
      <sz val="5"/>
      <color indexed="9"/>
      <name val="Arial"/>
      <family val="2"/>
    </font>
    <font>
      <sz val="5"/>
      <color theme="0"/>
      <name val="Arial"/>
      <family val="2"/>
    </font>
    <font>
      <u/>
      <sz val="11"/>
      <color theme="10"/>
      <name val="Calibri"/>
      <family val="2"/>
    </font>
    <font>
      <u/>
      <sz val="10"/>
      <color theme="10"/>
      <name val="Arial"/>
      <family val="2"/>
    </font>
    <font>
      <sz val="10"/>
      <color theme="0" tint="-0.14999847407452621"/>
      <name val="Arial"/>
      <family val="2"/>
    </font>
    <font>
      <sz val="8"/>
      <color rgb="FF000000"/>
      <name val="Segoe UI"/>
      <family val="2"/>
    </font>
    <font>
      <sz val="10"/>
      <color rgb="FF000000"/>
      <name val="Arial"/>
      <family val="2"/>
    </font>
    <font>
      <sz val="10"/>
      <color rgb="FFFF0000"/>
      <name val="Arial"/>
      <family val="2"/>
    </font>
    <font>
      <sz val="8"/>
      <color indexed="9"/>
      <name val="Arial"/>
      <family val="2"/>
    </font>
    <font>
      <sz val="8"/>
      <name val="Arial"/>
      <family val="2"/>
    </font>
  </fonts>
  <fills count="25">
    <fill>
      <patternFill patternType="none"/>
    </fill>
    <fill>
      <patternFill patternType="gray125"/>
    </fill>
    <fill>
      <patternFill patternType="lightUp">
        <fgColor indexed="10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5"/>
        <bgColor indexed="64"/>
      </patternFill>
    </fill>
    <fill>
      <patternFill patternType="lightUp">
        <fgColor indexed="10"/>
        <bgColor indexed="42"/>
      </patternFill>
    </fill>
    <fill>
      <patternFill patternType="solid">
        <fgColor indexed="4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EFEFEF"/>
        <bgColor rgb="FFEFEFEF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rgb="FFCCCCCC"/>
      </patternFill>
    </fill>
    <fill>
      <patternFill patternType="solid">
        <fgColor theme="0" tint="-0.249977111117893"/>
        <bgColor rgb="FFCCCCCC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lightUp">
        <fgColor theme="0"/>
        <bgColor theme="4" tint="0.79998168889431442"/>
      </patternFill>
    </fill>
    <fill>
      <patternFill patternType="solid">
        <fgColor rgb="FFCCFFFF"/>
        <bgColor indexed="64"/>
      </patternFill>
    </fill>
  </fills>
  <borders count="5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ck">
        <color indexed="10"/>
      </left>
      <right/>
      <top style="thick">
        <color indexed="10"/>
      </top>
      <bottom style="thick">
        <color indexed="10"/>
      </bottom>
      <diagonal/>
    </border>
    <border>
      <left/>
      <right style="thick">
        <color indexed="10"/>
      </right>
      <top style="thick">
        <color indexed="10"/>
      </top>
      <bottom style="thick">
        <color indexed="1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double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ck">
        <color indexed="10"/>
      </top>
      <bottom style="thick">
        <color indexed="1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hair">
        <color theme="0" tint="-0.499984740745262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hair">
        <color theme="0" tint="-0.499984740745262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rgb="FFFF0000"/>
      </left>
      <right/>
      <top style="medium">
        <color rgb="FFFF0000"/>
      </top>
      <bottom style="medium">
        <color rgb="FFFF0000"/>
      </bottom>
      <diagonal/>
    </border>
    <border>
      <left/>
      <right/>
      <top style="medium">
        <color rgb="FFFF0000"/>
      </top>
      <bottom style="medium">
        <color rgb="FFFF0000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medium">
        <color theme="4" tint="-0.24994659260841701"/>
      </left>
      <right style="medium">
        <color theme="4" tint="-0.24994659260841701"/>
      </right>
      <top style="medium">
        <color theme="4" tint="-0.24994659260841701"/>
      </top>
      <bottom style="medium">
        <color theme="4" tint="-0.24994659260841701"/>
      </bottom>
      <diagonal/>
    </border>
  </borders>
  <cellStyleXfs count="6">
    <xf numFmtId="0" fontId="0" fillId="0" borderId="0"/>
    <xf numFmtId="0" fontId="14" fillId="0" borderId="0"/>
    <xf numFmtId="0" fontId="2" fillId="0" borderId="0"/>
    <xf numFmtId="0" fontId="25" fillId="0" borderId="0" applyNumberFormat="0" applyFill="0" applyBorder="0" applyAlignment="0" applyProtection="0">
      <alignment vertical="top"/>
      <protection locked="0"/>
    </xf>
    <xf numFmtId="0" fontId="26" fillId="0" borderId="0" applyNumberFormat="0" applyFill="0" applyBorder="0" applyAlignment="0" applyProtection="0"/>
    <xf numFmtId="0" fontId="1" fillId="0" borderId="0"/>
  </cellStyleXfs>
  <cellXfs count="409">
    <xf numFmtId="0" fontId="0" fillId="0" borderId="0" xfId="0"/>
    <xf numFmtId="164" fontId="3" fillId="0" borderId="0" xfId="0" applyNumberFormat="1" applyFont="1" applyAlignment="1">
      <alignment horizontal="center" vertical="center"/>
    </xf>
    <xf numFmtId="0" fontId="0" fillId="0" borderId="1" xfId="0" applyBorder="1"/>
    <xf numFmtId="165" fontId="0" fillId="0" borderId="0" xfId="0" applyNumberFormat="1"/>
    <xf numFmtId="165" fontId="0" fillId="0" borderId="0" xfId="0" applyNumberFormat="1" applyBorder="1"/>
    <xf numFmtId="0" fontId="0" fillId="0" borderId="2" xfId="0" applyBorder="1"/>
    <xf numFmtId="0" fontId="5" fillId="0" borderId="0" xfId="0" applyFont="1" applyBorder="1" applyAlignment="1">
      <alignment horizontal="center" vertical="center"/>
    </xf>
    <xf numFmtId="0" fontId="0" fillId="0" borderId="1" xfId="0" applyBorder="1" applyProtection="1">
      <protection locked="0"/>
    </xf>
    <xf numFmtId="0" fontId="5" fillId="0" borderId="3" xfId="0" applyFont="1" applyBorder="1" applyAlignment="1" applyProtection="1">
      <alignment horizontal="center" vertical="center"/>
      <protection locked="0"/>
    </xf>
    <xf numFmtId="165" fontId="4" fillId="0" borderId="4" xfId="0" applyNumberFormat="1" applyFont="1" applyBorder="1" applyAlignment="1" applyProtection="1">
      <alignment horizontal="center" vertical="center"/>
      <protection locked="0"/>
    </xf>
    <xf numFmtId="165" fontId="4" fillId="0" borderId="5" xfId="0" applyNumberFormat="1" applyFont="1" applyBorder="1" applyAlignment="1" applyProtection="1">
      <alignment horizontal="center" vertical="center"/>
      <protection locked="0"/>
    </xf>
    <xf numFmtId="165" fontId="4" fillId="0" borderId="1" xfId="0" applyNumberFormat="1" applyFont="1" applyBorder="1" applyAlignment="1" applyProtection="1">
      <alignment horizontal="center" vertical="center"/>
      <protection locked="0"/>
    </xf>
    <xf numFmtId="165" fontId="4" fillId="0" borderId="6" xfId="0" applyNumberFormat="1" applyFont="1" applyBorder="1" applyAlignment="1" applyProtection="1">
      <alignment horizontal="center" vertical="center"/>
      <protection locked="0"/>
    </xf>
    <xf numFmtId="165" fontId="4" fillId="0" borderId="3" xfId="0" applyNumberFormat="1" applyFont="1" applyBorder="1" applyAlignment="1" applyProtection="1">
      <alignment horizontal="center" vertical="center"/>
      <protection locked="0"/>
    </xf>
    <xf numFmtId="0" fontId="0" fillId="0" borderId="2" xfId="0" applyBorder="1" applyProtection="1">
      <protection locked="0"/>
    </xf>
    <xf numFmtId="0" fontId="5" fillId="0" borderId="5" xfId="0" applyFont="1" applyBorder="1" applyAlignment="1" applyProtection="1">
      <alignment horizontal="center" vertical="center"/>
      <protection locked="0"/>
    </xf>
    <xf numFmtId="165" fontId="4" fillId="0" borderId="2" xfId="0" applyNumberFormat="1" applyFont="1" applyBorder="1" applyAlignment="1" applyProtection="1">
      <alignment horizontal="center" vertical="center"/>
      <protection locked="0"/>
    </xf>
    <xf numFmtId="165" fontId="4" fillId="0" borderId="4" xfId="0" applyNumberFormat="1" applyFont="1" applyFill="1" applyBorder="1" applyAlignment="1" applyProtection="1">
      <alignment horizontal="center" vertical="center"/>
      <protection locked="0"/>
    </xf>
    <xf numFmtId="165" fontId="4" fillId="3" borderId="5" xfId="0" applyNumberFormat="1" applyFont="1" applyFill="1" applyBorder="1" applyAlignment="1" applyProtection="1">
      <alignment horizontal="center" vertical="center"/>
      <protection locked="0"/>
    </xf>
    <xf numFmtId="165" fontId="4" fillId="3" borderId="4" xfId="0" applyNumberFormat="1" applyFont="1" applyFill="1" applyBorder="1" applyAlignment="1" applyProtection="1">
      <alignment horizontal="center" vertical="center"/>
      <protection locked="0"/>
    </xf>
    <xf numFmtId="0" fontId="0" fillId="0" borderId="2" xfId="0" applyFill="1" applyBorder="1" applyProtection="1">
      <protection locked="0"/>
    </xf>
    <xf numFmtId="165" fontId="4" fillId="4" borderId="5" xfId="0" applyNumberFormat="1" applyFont="1" applyFill="1" applyBorder="1" applyAlignment="1" applyProtection="1">
      <alignment horizontal="center" vertical="center"/>
      <protection locked="0"/>
    </xf>
    <xf numFmtId="165" fontId="4" fillId="4" borderId="4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165" fontId="0" fillId="0" borderId="0" xfId="0" applyNumberFormat="1" applyBorder="1" applyProtection="1">
      <protection locked="0"/>
    </xf>
    <xf numFmtId="165" fontId="0" fillId="0" borderId="0" xfId="0" applyNumberFormat="1" applyProtection="1">
      <protection locked="0"/>
    </xf>
    <xf numFmtId="0" fontId="0" fillId="0" borderId="0" xfId="0" applyProtection="1"/>
    <xf numFmtId="0" fontId="5" fillId="5" borderId="0" xfId="0" applyFont="1" applyFill="1" applyBorder="1" applyAlignment="1" applyProtection="1">
      <alignment horizontal="center" vertical="center"/>
    </xf>
    <xf numFmtId="0" fontId="5" fillId="6" borderId="0" xfId="0" applyFont="1" applyFill="1" applyBorder="1" applyAlignment="1" applyProtection="1">
      <alignment horizontal="center" vertical="center"/>
    </xf>
    <xf numFmtId="0" fontId="8" fillId="2" borderId="0" xfId="0" applyFont="1" applyFill="1" applyBorder="1" applyAlignment="1" applyProtection="1">
      <alignment horizontal="center" vertical="center"/>
    </xf>
    <xf numFmtId="0" fontId="5" fillId="3" borderId="0" xfId="0" applyFont="1" applyFill="1" applyBorder="1" applyAlignment="1" applyProtection="1">
      <alignment horizontal="center" vertical="center"/>
    </xf>
    <xf numFmtId="0" fontId="5" fillId="4" borderId="0" xfId="0" applyFont="1" applyFill="1" applyBorder="1" applyAlignment="1" applyProtection="1">
      <alignment horizontal="center" vertical="center"/>
    </xf>
    <xf numFmtId="0" fontId="5" fillId="7" borderId="0" xfId="0" applyFont="1" applyFill="1" applyBorder="1" applyAlignment="1" applyProtection="1">
      <alignment horizontal="center" vertical="center"/>
    </xf>
    <xf numFmtId="0" fontId="9" fillId="0" borderId="0" xfId="0" applyFont="1" applyAlignment="1" applyProtection="1">
      <alignment horizontal="center" vertical="center"/>
      <protection locked="0"/>
    </xf>
    <xf numFmtId="164" fontId="10" fillId="0" borderId="0" xfId="0" applyNumberFormat="1" applyFont="1" applyBorder="1" applyAlignment="1">
      <alignment horizontal="center" vertical="center"/>
    </xf>
    <xf numFmtId="164" fontId="3" fillId="0" borderId="0" xfId="0" applyNumberFormat="1" applyFont="1"/>
    <xf numFmtId="0" fontId="5" fillId="8" borderId="0" xfId="0" applyFont="1" applyFill="1" applyBorder="1" applyAlignment="1" applyProtection="1">
      <alignment horizontal="center" vertical="center"/>
      <protection locked="0"/>
    </xf>
    <xf numFmtId="0" fontId="0" fillId="0" borderId="0" xfId="0" applyFill="1"/>
    <xf numFmtId="165" fontId="4" fillId="0" borderId="2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Border="1"/>
    <xf numFmtId="165" fontId="11" fillId="9" borderId="4" xfId="0" applyNumberFormat="1" applyFont="1" applyFill="1" applyBorder="1" applyAlignment="1" applyProtection="1">
      <alignment horizontal="center" vertical="center"/>
      <protection locked="0"/>
    </xf>
    <xf numFmtId="165" fontId="11" fillId="9" borderId="5" xfId="0" applyNumberFormat="1" applyFont="1" applyFill="1" applyBorder="1" applyAlignment="1" applyProtection="1">
      <alignment horizontal="center" vertical="center"/>
      <protection locked="0"/>
    </xf>
    <xf numFmtId="0" fontId="4" fillId="0" borderId="7" xfId="0" applyFont="1" applyBorder="1"/>
    <xf numFmtId="0" fontId="4" fillId="0" borderId="8" xfId="0" applyFont="1" applyBorder="1"/>
    <xf numFmtId="0" fontId="8" fillId="10" borderId="0" xfId="0" applyFont="1" applyFill="1" applyBorder="1" applyAlignment="1" applyProtection="1">
      <alignment horizontal="center" vertical="center"/>
    </xf>
    <xf numFmtId="165" fontId="4" fillId="0" borderId="9" xfId="0" applyNumberFormat="1" applyFont="1" applyBorder="1" applyAlignment="1" applyProtection="1">
      <alignment horizontal="center" vertical="center"/>
      <protection locked="0"/>
    </xf>
    <xf numFmtId="0" fontId="8" fillId="10" borderId="5" xfId="0" applyFont="1" applyFill="1" applyBorder="1" applyAlignment="1" applyProtection="1">
      <alignment horizontal="center" vertical="center"/>
    </xf>
    <xf numFmtId="0" fontId="8" fillId="10" borderId="4" xfId="0" applyFont="1" applyFill="1" applyBorder="1" applyAlignment="1" applyProtection="1">
      <alignment horizontal="center" vertical="center"/>
    </xf>
    <xf numFmtId="165" fontId="4" fillId="8" borderId="5" xfId="0" applyNumberFormat="1" applyFont="1" applyFill="1" applyBorder="1" applyAlignment="1" applyProtection="1">
      <alignment horizontal="center" vertical="center"/>
      <protection locked="0"/>
    </xf>
    <xf numFmtId="165" fontId="11" fillId="0" borderId="0" xfId="0" applyNumberFormat="1" applyFont="1" applyFill="1" applyBorder="1" applyAlignment="1" applyProtection="1">
      <alignment horizontal="center" vertical="center"/>
      <protection locked="0"/>
    </xf>
    <xf numFmtId="165" fontId="4" fillId="8" borderId="4" xfId="0" applyNumberFormat="1" applyFont="1" applyFill="1" applyBorder="1" applyAlignment="1" applyProtection="1">
      <alignment horizontal="center" vertical="center"/>
      <protection locked="0"/>
    </xf>
    <xf numFmtId="0" fontId="0" fillId="0" borderId="10" xfId="0" applyBorder="1"/>
    <xf numFmtId="0" fontId="5" fillId="11" borderId="0" xfId="0" applyFont="1" applyFill="1" applyBorder="1" applyAlignment="1" applyProtection="1">
      <alignment horizontal="center" vertical="center"/>
      <protection locked="0"/>
    </xf>
    <xf numFmtId="165" fontId="13" fillId="0" borderId="4" xfId="0" applyNumberFormat="1" applyFont="1" applyBorder="1" applyAlignment="1" applyProtection="1">
      <alignment horizontal="center" vertical="center"/>
      <protection locked="0"/>
    </xf>
    <xf numFmtId="165" fontId="13" fillId="0" borderId="5" xfId="0" applyNumberFormat="1" applyFont="1" applyBorder="1" applyAlignment="1" applyProtection="1">
      <alignment horizontal="center" vertical="center"/>
      <protection locked="0"/>
    </xf>
    <xf numFmtId="0" fontId="14" fillId="0" borderId="2" xfId="0" applyFont="1" applyFill="1" applyBorder="1" applyProtection="1">
      <protection locked="0"/>
    </xf>
    <xf numFmtId="0" fontId="5" fillId="5" borderId="4" xfId="0" applyFont="1" applyFill="1" applyBorder="1" applyAlignment="1" applyProtection="1">
      <alignment horizontal="center" vertical="center"/>
    </xf>
    <xf numFmtId="0" fontId="5" fillId="5" borderId="5" xfId="0" applyFont="1" applyFill="1" applyBorder="1" applyAlignment="1" applyProtection="1">
      <alignment horizontal="center" vertical="center"/>
    </xf>
    <xf numFmtId="0" fontId="5" fillId="6" borderId="4" xfId="0" applyFont="1" applyFill="1" applyBorder="1" applyAlignment="1" applyProtection="1">
      <alignment horizontal="center" vertical="center"/>
    </xf>
    <xf numFmtId="0" fontId="5" fillId="6" borderId="5" xfId="0" applyFont="1" applyFill="1" applyBorder="1" applyAlignment="1" applyProtection="1">
      <alignment horizontal="center" vertical="center"/>
    </xf>
    <xf numFmtId="0" fontId="15" fillId="0" borderId="0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3" fillId="0" borderId="11" xfId="0" applyFont="1" applyFill="1" applyBorder="1" applyAlignment="1">
      <alignment horizontal="center" wrapText="1"/>
    </xf>
    <xf numFmtId="0" fontId="3" fillId="6" borderId="11" xfId="0" applyFont="1" applyFill="1" applyBorder="1" applyAlignment="1">
      <alignment horizontal="center" wrapText="1"/>
    </xf>
    <xf numFmtId="166" fontId="3" fillId="0" borderId="11" xfId="0" applyNumberFormat="1" applyFont="1" applyBorder="1" applyAlignment="1">
      <alignment horizontal="center" wrapText="1"/>
    </xf>
    <xf numFmtId="0" fontId="3" fillId="0" borderId="10" xfId="0" applyFont="1" applyBorder="1" applyAlignment="1">
      <alignment wrapText="1"/>
    </xf>
    <xf numFmtId="0" fontId="3" fillId="0" borderId="12" xfId="0" applyFont="1" applyBorder="1" applyAlignment="1">
      <alignment horizontal="center"/>
    </xf>
    <xf numFmtId="0" fontId="3" fillId="12" borderId="13" xfId="0" applyFont="1" applyFill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3" fillId="12" borderId="12" xfId="0" applyFont="1" applyFill="1" applyBorder="1" applyAlignment="1">
      <alignment horizontal="center"/>
    </xf>
    <xf numFmtId="0" fontId="3" fillId="0" borderId="15" xfId="0" applyFont="1" applyFill="1" applyBorder="1" applyAlignment="1">
      <alignment horizontal="center" wrapText="1"/>
    </xf>
    <xf numFmtId="0" fontId="3" fillId="0" borderId="12" xfId="0" applyFont="1" applyBorder="1" applyAlignment="1">
      <alignment wrapText="1"/>
    </xf>
    <xf numFmtId="0" fontId="3" fillId="0" borderId="14" xfId="0" applyFont="1" applyBorder="1" applyAlignment="1">
      <alignment wrapText="1"/>
    </xf>
    <xf numFmtId="0" fontId="3" fillId="0" borderId="13" xfId="0" applyFont="1" applyBorder="1" applyAlignment="1">
      <alignment wrapText="1"/>
    </xf>
    <xf numFmtId="0" fontId="14" fillId="0" borderId="0" xfId="0" applyFont="1" applyBorder="1"/>
    <xf numFmtId="0" fontId="14" fillId="12" borderId="16" xfId="0" applyFont="1" applyFill="1" applyBorder="1"/>
    <xf numFmtId="0" fontId="0" fillId="12" borderId="16" xfId="0" applyFill="1" applyBorder="1"/>
    <xf numFmtId="0" fontId="3" fillId="0" borderId="11" xfId="0" applyFont="1" applyFill="1" applyBorder="1"/>
    <xf numFmtId="0" fontId="3" fillId="6" borderId="11" xfId="0" applyFont="1" applyFill="1" applyBorder="1"/>
    <xf numFmtId="166" fontId="0" fillId="0" borderId="0" xfId="0" applyNumberFormat="1" applyBorder="1"/>
    <xf numFmtId="166" fontId="14" fillId="0" borderId="0" xfId="0" applyNumberFormat="1" applyFont="1" applyBorder="1"/>
    <xf numFmtId="166" fontId="0" fillId="0" borderId="10" xfId="0" applyNumberFormat="1" applyBorder="1"/>
    <xf numFmtId="166" fontId="0" fillId="0" borderId="16" xfId="0" applyNumberFormat="1" applyBorder="1"/>
    <xf numFmtId="167" fontId="0" fillId="0" borderId="11" xfId="0" applyNumberFormat="1" applyBorder="1"/>
    <xf numFmtId="0" fontId="3" fillId="0" borderId="17" xfId="0" applyFont="1" applyBorder="1"/>
    <xf numFmtId="0" fontId="0" fillId="0" borderId="0" xfId="0" applyFill="1" applyBorder="1"/>
    <xf numFmtId="0" fontId="3" fillId="0" borderId="18" xfId="0" applyFont="1" applyBorder="1"/>
    <xf numFmtId="0" fontId="14" fillId="0" borderId="19" xfId="0" applyFont="1" applyBorder="1"/>
    <xf numFmtId="0" fontId="0" fillId="0" borderId="1" xfId="0" applyFill="1" applyBorder="1"/>
    <xf numFmtId="0" fontId="3" fillId="0" borderId="19" xfId="0" applyFont="1" applyFill="1" applyBorder="1"/>
    <xf numFmtId="0" fontId="3" fillId="6" borderId="9" xfId="0" applyFont="1" applyFill="1" applyBorder="1"/>
    <xf numFmtId="0" fontId="3" fillId="0" borderId="9" xfId="0" applyFont="1" applyFill="1" applyBorder="1"/>
    <xf numFmtId="166" fontId="0" fillId="0" borderId="2" xfId="0" applyNumberFormat="1" applyBorder="1"/>
    <xf numFmtId="166" fontId="14" fillId="0" borderId="5" xfId="0" applyNumberFormat="1" applyFont="1" applyBorder="1"/>
    <xf numFmtId="167" fontId="0" fillId="0" borderId="9" xfId="0" applyNumberFormat="1" applyBorder="1"/>
    <xf numFmtId="0" fontId="0" fillId="0" borderId="0" xfId="0" applyAlignment="1"/>
    <xf numFmtId="0" fontId="3" fillId="0" borderId="0" xfId="0" applyFont="1" applyBorder="1" applyAlignment="1">
      <alignment wrapText="1"/>
    </xf>
    <xf numFmtId="0" fontId="3" fillId="0" borderId="20" xfId="0" applyFont="1" applyBorder="1" applyAlignment="1">
      <alignment horizontal="center" wrapText="1"/>
    </xf>
    <xf numFmtId="0" fontId="4" fillId="0" borderId="21" xfId="0" applyFont="1" applyBorder="1"/>
    <xf numFmtId="0" fontId="4" fillId="0" borderId="0" xfId="0" applyFont="1" applyBorder="1"/>
    <xf numFmtId="0" fontId="4" fillId="0" borderId="22" xfId="0" applyFont="1" applyBorder="1"/>
    <xf numFmtId="0" fontId="4" fillId="0" borderId="0" xfId="0" applyFont="1"/>
    <xf numFmtId="0" fontId="4" fillId="0" borderId="23" xfId="0" applyFont="1" applyFill="1" applyBorder="1"/>
    <xf numFmtId="0" fontId="4" fillId="0" borderId="1" xfId="0" applyFont="1" applyFill="1" applyBorder="1"/>
    <xf numFmtId="0" fontId="4" fillId="0" borderId="24" xfId="0" applyFont="1" applyBorder="1"/>
    <xf numFmtId="0" fontId="0" fillId="0" borderId="25" xfId="0" applyBorder="1"/>
    <xf numFmtId="0" fontId="0" fillId="0" borderId="26" xfId="0" applyBorder="1"/>
    <xf numFmtId="0" fontId="0" fillId="0" borderId="15" xfId="0" applyBorder="1"/>
    <xf numFmtId="0" fontId="0" fillId="13" borderId="0" xfId="0" applyFill="1"/>
    <xf numFmtId="0" fontId="0" fillId="0" borderId="0" xfId="0" applyAlignment="1">
      <alignment horizontal="center"/>
    </xf>
    <xf numFmtId="0" fontId="0" fillId="0" borderId="14" xfId="0" applyBorder="1"/>
    <xf numFmtId="0" fontId="3" fillId="6" borderId="15" xfId="0" applyFont="1" applyFill="1" applyBorder="1" applyAlignment="1">
      <alignment horizontal="center" wrapText="1"/>
    </xf>
    <xf numFmtId="0" fontId="0" fillId="12" borderId="5" xfId="0" applyFill="1" applyBorder="1"/>
    <xf numFmtId="0" fontId="14" fillId="12" borderId="5" xfId="0" applyFont="1" applyFill="1" applyBorder="1"/>
    <xf numFmtId="0" fontId="4" fillId="13" borderId="5" xfId="0" applyFont="1" applyFill="1" applyBorder="1" applyAlignment="1">
      <alignment horizontal="center"/>
    </xf>
    <xf numFmtId="0" fontId="4" fillId="13" borderId="4" xfId="0" applyFont="1" applyFill="1" applyBorder="1" applyAlignment="1">
      <alignment horizontal="center"/>
    </xf>
    <xf numFmtId="0" fontId="14" fillId="0" borderId="1" xfId="0" applyFont="1" applyBorder="1" applyProtection="1">
      <protection locked="0"/>
    </xf>
    <xf numFmtId="0" fontId="3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165" fontId="6" fillId="0" borderId="1" xfId="0" applyNumberFormat="1" applyFont="1" applyBorder="1" applyAlignment="1">
      <alignment horizontal="center" vertical="center"/>
    </xf>
    <xf numFmtId="165" fontId="6" fillId="0" borderId="3" xfId="0" applyNumberFormat="1" applyFont="1" applyBorder="1" applyAlignment="1">
      <alignment horizontal="center" vertical="center"/>
    </xf>
    <xf numFmtId="165" fontId="6" fillId="0" borderId="6" xfId="0" applyNumberFormat="1" applyFont="1" applyBorder="1" applyAlignment="1">
      <alignment horizontal="center" vertical="center"/>
    </xf>
    <xf numFmtId="0" fontId="3" fillId="0" borderId="0" xfId="0" applyFont="1"/>
    <xf numFmtId="0" fontId="3" fillId="0" borderId="0" xfId="0" applyFont="1" applyBorder="1"/>
    <xf numFmtId="0" fontId="3" fillId="0" borderId="1" xfId="0" applyFont="1" applyFill="1" applyBorder="1" applyProtection="1">
      <protection locked="0"/>
    </xf>
    <xf numFmtId="1" fontId="7" fillId="0" borderId="3" xfId="0" applyNumberFormat="1" applyFont="1" applyBorder="1" applyAlignment="1" applyProtection="1">
      <alignment horizontal="center" vertical="center"/>
      <protection locked="0"/>
    </xf>
    <xf numFmtId="1" fontId="12" fillId="0" borderId="1" xfId="0" applyNumberFormat="1" applyFont="1" applyBorder="1" applyAlignment="1" applyProtection="1">
      <alignment horizontal="center" vertical="center"/>
      <protection locked="0"/>
    </xf>
    <xf numFmtId="1" fontId="7" fillId="0" borderId="3" xfId="0" applyNumberFormat="1" applyFont="1" applyBorder="1" applyAlignment="1" applyProtection="1">
      <alignment horizontal="center" vertical="center"/>
    </xf>
    <xf numFmtId="1" fontId="12" fillId="0" borderId="0" xfId="0" applyNumberFormat="1" applyFont="1" applyBorder="1" applyAlignment="1" applyProtection="1">
      <alignment horizontal="center" vertical="center"/>
    </xf>
    <xf numFmtId="1" fontId="12" fillId="0" borderId="0" xfId="0" applyNumberFormat="1" applyFont="1" applyBorder="1" applyAlignment="1" applyProtection="1">
      <alignment horizontal="center" vertical="center"/>
      <protection locked="0"/>
    </xf>
    <xf numFmtId="0" fontId="14" fillId="0" borderId="0" xfId="0" applyFont="1" applyFill="1" applyBorder="1" applyProtection="1">
      <protection locked="0"/>
    </xf>
    <xf numFmtId="1" fontId="5" fillId="0" borderId="0" xfId="0" applyNumberFormat="1" applyFont="1" applyBorder="1" applyAlignment="1" applyProtection="1">
      <alignment horizontal="center" vertical="center"/>
      <protection locked="0"/>
    </xf>
    <xf numFmtId="1" fontId="5" fillId="0" borderId="0" xfId="0" applyNumberFormat="1" applyFont="1" applyBorder="1" applyAlignment="1" applyProtection="1">
      <alignment horizontal="center" vertical="center"/>
    </xf>
    <xf numFmtId="165" fontId="4" fillId="14" borderId="4" xfId="0" applyNumberFormat="1" applyFont="1" applyFill="1" applyBorder="1" applyAlignment="1" applyProtection="1">
      <alignment horizontal="center" vertical="center"/>
      <protection locked="0"/>
    </xf>
    <xf numFmtId="165" fontId="4" fillId="15" borderId="4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/>
    <xf numFmtId="0" fontId="18" fillId="0" borderId="0" xfId="0" applyFont="1" applyBorder="1"/>
    <xf numFmtId="0" fontId="18" fillId="0" borderId="0" xfId="0" applyFont="1" applyFill="1" applyBorder="1"/>
    <xf numFmtId="0" fontId="18" fillId="0" borderId="0" xfId="0" applyFont="1"/>
    <xf numFmtId="0" fontId="14" fillId="0" borderId="2" xfId="0" applyFont="1" applyBorder="1" applyProtection="1">
      <protection locked="0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165" fontId="4" fillId="0" borderId="4" xfId="0" applyNumberFormat="1" applyFont="1" applyBorder="1" applyAlignment="1" applyProtection="1">
      <alignment horizontal="center" vertical="center"/>
      <protection locked="0"/>
    </xf>
    <xf numFmtId="165" fontId="4" fillId="0" borderId="5" xfId="0" applyNumberFormat="1" applyFont="1" applyBorder="1" applyAlignment="1" applyProtection="1">
      <alignment horizontal="center" vertical="center"/>
      <protection locked="0"/>
    </xf>
    <xf numFmtId="165" fontId="4" fillId="0" borderId="2" xfId="0" applyNumberFormat="1" applyFont="1" applyBorder="1" applyAlignment="1" applyProtection="1">
      <alignment horizontal="center" vertical="center"/>
      <protection locked="0"/>
    </xf>
    <xf numFmtId="0" fontId="0" fillId="0" borderId="2" xfId="0" applyFill="1" applyBorder="1" applyProtection="1">
      <protection locked="0"/>
    </xf>
    <xf numFmtId="165" fontId="4" fillId="0" borderId="9" xfId="0" applyNumberFormat="1" applyFont="1" applyBorder="1" applyAlignment="1" applyProtection="1">
      <alignment horizontal="center" vertical="center"/>
      <protection locked="0"/>
    </xf>
    <xf numFmtId="0" fontId="5" fillId="0" borderId="5" xfId="0" applyFont="1" applyBorder="1" applyAlignment="1" applyProtection="1">
      <alignment horizontal="center" vertical="center"/>
      <protection locked="0"/>
    </xf>
    <xf numFmtId="0" fontId="8" fillId="10" borderId="5" xfId="0" applyFont="1" applyFill="1" applyBorder="1" applyAlignment="1" applyProtection="1">
      <alignment horizontal="center" vertical="center"/>
    </xf>
    <xf numFmtId="0" fontId="8" fillId="10" borderId="4" xfId="0" applyFont="1" applyFill="1" applyBorder="1" applyAlignment="1" applyProtection="1">
      <alignment horizontal="center" vertical="center"/>
    </xf>
    <xf numFmtId="165" fontId="4" fillId="0" borderId="4" xfId="0" applyNumberFormat="1" applyFont="1" applyBorder="1" applyAlignment="1" applyProtection="1">
      <alignment horizontal="center" vertical="center"/>
      <protection locked="0"/>
    </xf>
    <xf numFmtId="165" fontId="4" fillId="0" borderId="5" xfId="0" applyNumberFormat="1" applyFont="1" applyBorder="1" applyAlignment="1" applyProtection="1">
      <alignment horizontal="center" vertical="center"/>
      <protection locked="0"/>
    </xf>
    <xf numFmtId="165" fontId="4" fillId="0" borderId="5" xfId="0" applyNumberFormat="1" applyFont="1" applyFill="1" applyBorder="1" applyAlignment="1" applyProtection="1">
      <alignment horizontal="center" vertical="center"/>
      <protection locked="0"/>
    </xf>
    <xf numFmtId="165" fontId="4" fillId="3" borderId="5" xfId="0" applyNumberFormat="1" applyFont="1" applyFill="1" applyBorder="1" applyAlignment="1" applyProtection="1">
      <alignment horizontal="center" vertical="center"/>
      <protection locked="0"/>
    </xf>
    <xf numFmtId="165" fontId="4" fillId="3" borderId="4" xfId="0" applyNumberFormat="1" applyFont="1" applyFill="1" applyBorder="1" applyAlignment="1" applyProtection="1">
      <alignment horizontal="center" vertical="center"/>
      <protection locked="0"/>
    </xf>
    <xf numFmtId="165" fontId="4" fillId="3" borderId="5" xfId="0" applyNumberFormat="1" applyFont="1" applyFill="1" applyBorder="1" applyAlignment="1" applyProtection="1">
      <alignment horizontal="center" vertical="center"/>
      <protection locked="0"/>
    </xf>
    <xf numFmtId="165" fontId="4" fillId="3" borderId="4" xfId="0" applyNumberFormat="1" applyFont="1" applyFill="1" applyBorder="1" applyAlignment="1" applyProtection="1">
      <alignment horizontal="center" vertical="center"/>
      <protection locked="0"/>
    </xf>
    <xf numFmtId="165" fontId="4" fillId="4" borderId="5" xfId="0" applyNumberFormat="1" applyFont="1" applyFill="1" applyBorder="1" applyAlignment="1" applyProtection="1">
      <alignment horizontal="center" vertical="center"/>
      <protection locked="0"/>
    </xf>
    <xf numFmtId="165" fontId="4" fillId="4" borderId="4" xfId="0" applyNumberFormat="1" applyFont="1" applyFill="1" applyBorder="1" applyAlignment="1" applyProtection="1">
      <alignment horizontal="center" vertical="center"/>
      <protection locked="0"/>
    </xf>
    <xf numFmtId="0" fontId="0" fillId="0" borderId="0" xfId="0"/>
    <xf numFmtId="165" fontId="20" fillId="0" borderId="1" xfId="0" applyNumberFormat="1" applyFont="1" applyBorder="1" applyAlignment="1">
      <alignment horizontal="center" vertical="center"/>
    </xf>
    <xf numFmtId="165" fontId="20" fillId="0" borderId="1" xfId="0" applyNumberFormat="1" applyFont="1" applyBorder="1" applyAlignment="1" applyProtection="1">
      <alignment horizontal="center" vertical="center"/>
      <protection locked="0"/>
    </xf>
    <xf numFmtId="0" fontId="21" fillId="10" borderId="2" xfId="0" applyFont="1" applyFill="1" applyBorder="1" applyAlignment="1" applyProtection="1">
      <alignment horizontal="center" vertical="center"/>
    </xf>
    <xf numFmtId="165" fontId="20" fillId="0" borderId="2" xfId="0" applyNumberFormat="1" applyFont="1" applyBorder="1" applyAlignment="1" applyProtection="1">
      <alignment horizontal="center" vertical="center"/>
      <protection locked="0"/>
    </xf>
    <xf numFmtId="165" fontId="20" fillId="4" borderId="2" xfId="0" applyNumberFormat="1" applyFont="1" applyFill="1" applyBorder="1" applyAlignment="1" applyProtection="1">
      <alignment horizontal="center" vertical="center"/>
      <protection locked="0"/>
    </xf>
    <xf numFmtId="165" fontId="20" fillId="14" borderId="2" xfId="0" applyNumberFormat="1" applyFont="1" applyFill="1" applyBorder="1" applyAlignment="1" applyProtection="1">
      <alignment horizontal="center" vertical="center"/>
      <protection locked="0"/>
    </xf>
    <xf numFmtId="165" fontId="20" fillId="0" borderId="2" xfId="0" applyNumberFormat="1" applyFont="1" applyFill="1" applyBorder="1" applyAlignment="1" applyProtection="1">
      <alignment horizontal="center" vertical="center"/>
      <protection locked="0"/>
    </xf>
    <xf numFmtId="1" fontId="22" fillId="0" borderId="0" xfId="0" applyNumberFormat="1" applyFont="1" applyBorder="1" applyAlignment="1" applyProtection="1">
      <alignment horizontal="center" vertical="center"/>
    </xf>
    <xf numFmtId="0" fontId="20" fillId="0" borderId="0" xfId="0" applyFont="1"/>
    <xf numFmtId="165" fontId="20" fillId="15" borderId="2" xfId="0" applyNumberFormat="1" applyFont="1" applyFill="1" applyBorder="1" applyAlignment="1" applyProtection="1">
      <alignment horizontal="center" vertical="center"/>
      <protection locked="0"/>
    </xf>
    <xf numFmtId="165" fontId="20" fillId="3" borderId="2" xfId="0" applyNumberFormat="1" applyFont="1" applyFill="1" applyBorder="1" applyAlignment="1" applyProtection="1">
      <alignment horizontal="center" vertical="center"/>
      <protection locked="0"/>
    </xf>
    <xf numFmtId="165" fontId="20" fillId="0" borderId="0" xfId="0" applyNumberFormat="1" applyFont="1"/>
    <xf numFmtId="0" fontId="20" fillId="5" borderId="2" xfId="0" applyFont="1" applyFill="1" applyBorder="1" applyAlignment="1" applyProtection="1">
      <alignment horizontal="center" vertical="center"/>
    </xf>
    <xf numFmtId="0" fontId="20" fillId="6" borderId="2" xfId="0" applyFont="1" applyFill="1" applyBorder="1" applyAlignment="1" applyProtection="1">
      <alignment horizontal="center" vertical="center"/>
    </xf>
    <xf numFmtId="165" fontId="23" fillId="9" borderId="2" xfId="0" applyNumberFormat="1" applyFont="1" applyFill="1" applyBorder="1" applyAlignment="1" applyProtection="1">
      <alignment horizontal="center" vertical="center"/>
      <protection locked="0"/>
    </xf>
    <xf numFmtId="165" fontId="23" fillId="0" borderId="0" xfId="0" applyNumberFormat="1" applyFont="1" applyFill="1" applyBorder="1" applyAlignment="1" applyProtection="1">
      <alignment horizontal="center" vertical="center"/>
      <protection locked="0"/>
    </xf>
    <xf numFmtId="0" fontId="20" fillId="0" borderId="27" xfId="0" applyFont="1" applyBorder="1"/>
    <xf numFmtId="165" fontId="20" fillId="8" borderId="2" xfId="0" applyNumberFormat="1" applyFont="1" applyFill="1" applyBorder="1" applyAlignment="1" applyProtection="1">
      <alignment horizontal="center" vertical="center"/>
      <protection locked="0"/>
    </xf>
    <xf numFmtId="0" fontId="20" fillId="0" borderId="0" xfId="0" applyFont="1" applyAlignment="1">
      <alignment horizontal="center"/>
    </xf>
    <xf numFmtId="0" fontId="20" fillId="13" borderId="2" xfId="0" applyFont="1" applyFill="1" applyBorder="1" applyAlignment="1">
      <alignment horizontal="center"/>
    </xf>
    <xf numFmtId="0" fontId="24" fillId="0" borderId="0" xfId="0" applyFont="1"/>
    <xf numFmtId="165" fontId="20" fillId="0" borderId="0" xfId="0" applyNumberFormat="1" applyFont="1" applyProtection="1">
      <protection locked="0"/>
    </xf>
    <xf numFmtId="1" fontId="20" fillId="0" borderId="0" xfId="0" applyNumberFormat="1" applyFont="1" applyBorder="1" applyAlignment="1" applyProtection="1">
      <alignment horizontal="center" vertical="center"/>
      <protection locked="0"/>
    </xf>
    <xf numFmtId="1" fontId="20" fillId="0" borderId="0" xfId="0" applyNumberFormat="1" applyFont="1" applyBorder="1" applyAlignment="1" applyProtection="1">
      <alignment horizontal="center" vertical="center"/>
    </xf>
    <xf numFmtId="0" fontId="24" fillId="0" borderId="0" xfId="0" applyFont="1" applyBorder="1"/>
    <xf numFmtId="0" fontId="24" fillId="0" borderId="0" xfId="0" applyFont="1" applyFill="1" applyBorder="1"/>
    <xf numFmtId="0" fontId="14" fillId="0" borderId="5" xfId="1" applyNumberFormat="1" applyBorder="1"/>
    <xf numFmtId="0" fontId="14" fillId="0" borderId="4" xfId="1" applyFont="1" applyBorder="1"/>
    <xf numFmtId="0" fontId="20" fillId="0" borderId="2" xfId="1" applyFont="1" applyBorder="1"/>
    <xf numFmtId="0" fontId="14" fillId="0" borderId="4" xfId="1" applyFont="1" applyBorder="1"/>
    <xf numFmtId="0" fontId="20" fillId="0" borderId="2" xfId="1" applyFont="1" applyBorder="1"/>
    <xf numFmtId="0" fontId="0" fillId="0" borderId="0" xfId="0"/>
    <xf numFmtId="0" fontId="14" fillId="0" borderId="0" xfId="1"/>
    <xf numFmtId="0" fontId="3" fillId="0" borderId="28" xfId="1" applyFont="1" applyBorder="1"/>
    <xf numFmtId="164" fontId="3" fillId="0" borderId="29" xfId="1" applyNumberFormat="1" applyFont="1" applyFill="1" applyBorder="1" applyAlignment="1" applyProtection="1">
      <alignment horizontal="center" vertical="center"/>
    </xf>
    <xf numFmtId="164" fontId="3" fillId="0" borderId="30" xfId="1" applyNumberFormat="1" applyFont="1" applyFill="1" applyBorder="1" applyAlignment="1" applyProtection="1">
      <alignment horizontal="center" vertical="center"/>
    </xf>
    <xf numFmtId="164" fontId="3" fillId="0" borderId="28" xfId="1" applyNumberFormat="1" applyFont="1" applyFill="1" applyBorder="1" applyAlignment="1" applyProtection="1">
      <alignment horizontal="center" vertical="center"/>
    </xf>
    <xf numFmtId="0" fontId="3" fillId="0" borderId="31" xfId="1" applyFont="1" applyBorder="1"/>
    <xf numFmtId="164" fontId="3" fillId="0" borderId="32" xfId="1" applyNumberFormat="1" applyFont="1" applyFill="1" applyBorder="1" applyAlignment="1" applyProtection="1">
      <alignment horizontal="center" vertical="center"/>
    </xf>
    <xf numFmtId="164" fontId="3" fillId="0" borderId="33" xfId="1" applyNumberFormat="1" applyFont="1" applyFill="1" applyBorder="1" applyAlignment="1" applyProtection="1">
      <alignment horizontal="center" vertical="center"/>
    </xf>
    <xf numFmtId="165" fontId="4" fillId="0" borderId="0" xfId="1" applyNumberFormat="1" applyFont="1" applyBorder="1" applyAlignment="1" applyProtection="1">
      <alignment horizontal="center" vertical="center"/>
      <protection locked="0"/>
    </xf>
    <xf numFmtId="0" fontId="3" fillId="0" borderId="29" xfId="1" applyFont="1" applyBorder="1"/>
    <xf numFmtId="0" fontId="3" fillId="0" borderId="11" xfId="1" applyFont="1" applyBorder="1"/>
    <xf numFmtId="165" fontId="14" fillId="0" borderId="0" xfId="1" applyNumberFormat="1" applyFill="1"/>
    <xf numFmtId="0" fontId="3" fillId="0" borderId="11" xfId="1" applyFont="1" applyFill="1" applyBorder="1"/>
    <xf numFmtId="0" fontId="14" fillId="0" borderId="0" xfId="1" applyFill="1"/>
    <xf numFmtId="0" fontId="3" fillId="0" borderId="0" xfId="1" applyFont="1"/>
    <xf numFmtId="0" fontId="14" fillId="0" borderId="22" xfId="1" applyBorder="1" applyAlignment="1">
      <alignment horizontal="center"/>
    </xf>
    <xf numFmtId="0" fontId="14" fillId="0" borderId="0" xfId="1" applyAlignment="1">
      <alignment horizontal="center"/>
    </xf>
    <xf numFmtId="165" fontId="3" fillId="0" borderId="10" xfId="0" applyNumberFormat="1" applyFont="1" applyFill="1" applyBorder="1" applyAlignment="1" applyProtection="1">
      <alignment horizontal="center" vertical="center"/>
    </xf>
    <xf numFmtId="165" fontId="3" fillId="0" borderId="0" xfId="0" applyNumberFormat="1" applyFont="1" applyFill="1" applyBorder="1" applyAlignment="1" applyProtection="1">
      <alignment horizontal="center" vertical="center"/>
    </xf>
    <xf numFmtId="165" fontId="3" fillId="0" borderId="16" xfId="0" applyNumberFormat="1" applyFont="1" applyFill="1" applyBorder="1" applyAlignment="1" applyProtection="1">
      <alignment horizontal="center" vertical="center"/>
    </xf>
    <xf numFmtId="164" fontId="3" fillId="0" borderId="10" xfId="0" applyNumberFormat="1" applyFont="1" applyBorder="1" applyAlignment="1" applyProtection="1">
      <alignment horizontal="center" vertical="center"/>
    </xf>
    <xf numFmtId="164" fontId="3" fillId="0" borderId="0" xfId="0" applyNumberFormat="1" applyFont="1" applyBorder="1" applyAlignment="1" applyProtection="1">
      <alignment horizontal="center" vertical="center"/>
    </xf>
    <xf numFmtId="164" fontId="3" fillId="0" borderId="16" xfId="0" applyNumberFormat="1" applyFont="1" applyBorder="1" applyAlignment="1" applyProtection="1">
      <alignment horizontal="center" vertical="center"/>
    </xf>
    <xf numFmtId="165" fontId="3" fillId="0" borderId="10" xfId="0" applyNumberFormat="1" applyFont="1" applyBorder="1" applyAlignment="1" applyProtection="1">
      <alignment horizontal="center" vertical="center"/>
    </xf>
    <xf numFmtId="165" fontId="3" fillId="0" borderId="0" xfId="0" applyNumberFormat="1" applyFont="1" applyBorder="1" applyAlignment="1" applyProtection="1">
      <alignment horizontal="center" vertical="center"/>
    </xf>
    <xf numFmtId="165" fontId="3" fillId="0" borderId="16" xfId="0" applyNumberFormat="1" applyFont="1" applyBorder="1" applyAlignment="1" applyProtection="1">
      <alignment horizontal="center" vertical="center"/>
    </xf>
    <xf numFmtId="164" fontId="3" fillId="0" borderId="10" xfId="0" applyNumberFormat="1" applyFont="1" applyFill="1" applyBorder="1" applyAlignment="1" applyProtection="1">
      <alignment horizontal="center" vertical="center"/>
    </xf>
    <xf numFmtId="164" fontId="3" fillId="0" borderId="0" xfId="0" applyNumberFormat="1" applyFont="1" applyFill="1" applyBorder="1" applyAlignment="1" applyProtection="1">
      <alignment horizontal="center" vertical="center"/>
    </xf>
    <xf numFmtId="164" fontId="3" fillId="0" borderId="16" xfId="0" applyNumberFormat="1" applyFont="1" applyFill="1" applyBorder="1" applyAlignment="1" applyProtection="1">
      <alignment horizontal="center" vertical="center"/>
    </xf>
    <xf numFmtId="164" fontId="19" fillId="0" borderId="10" xfId="0" applyNumberFormat="1" applyFont="1" applyFill="1" applyBorder="1" applyAlignment="1" applyProtection="1">
      <alignment horizontal="center" vertical="center"/>
    </xf>
    <xf numFmtId="164" fontId="19" fillId="0" borderId="0" xfId="0" applyNumberFormat="1" applyFont="1" applyFill="1" applyBorder="1" applyAlignment="1" applyProtection="1">
      <alignment horizontal="center" vertical="center"/>
    </xf>
    <xf numFmtId="164" fontId="19" fillId="0" borderId="16" xfId="0" applyNumberFormat="1" applyFont="1" applyFill="1" applyBorder="1" applyAlignment="1" applyProtection="1">
      <alignment horizontal="center" vertical="center"/>
    </xf>
    <xf numFmtId="165" fontId="14" fillId="0" borderId="1" xfId="1" applyNumberFormat="1" applyFill="1" applyBorder="1"/>
    <xf numFmtId="0" fontId="3" fillId="0" borderId="19" xfId="1" applyFont="1" applyFill="1" applyBorder="1"/>
    <xf numFmtId="0" fontId="0" fillId="0" borderId="0" xfId="0"/>
    <xf numFmtId="0" fontId="26" fillId="0" borderId="1" xfId="4" applyBorder="1" applyProtection="1">
      <protection locked="0"/>
    </xf>
    <xf numFmtId="0" fontId="26" fillId="0" borderId="2" xfId="4" applyBorder="1" applyProtection="1">
      <protection locked="0"/>
    </xf>
    <xf numFmtId="0" fontId="27" fillId="0" borderId="0" xfId="4" applyFont="1" applyAlignment="1" applyProtection="1">
      <alignment horizontal="center" vertical="center"/>
      <protection locked="0"/>
    </xf>
    <xf numFmtId="0" fontId="27" fillId="0" borderId="1" xfId="4" applyFont="1" applyBorder="1" applyAlignment="1">
      <alignment horizontal="center" vertical="center"/>
    </xf>
    <xf numFmtId="0" fontId="26" fillId="0" borderId="2" xfId="4" applyFill="1" applyBorder="1" applyProtection="1">
      <protection locked="0"/>
    </xf>
    <xf numFmtId="0" fontId="14" fillId="0" borderId="0" xfId="1" applyAlignment="1">
      <alignment horizontal="left"/>
    </xf>
    <xf numFmtId="0" fontId="0" fillId="0" borderId="0" xfId="0"/>
    <xf numFmtId="0" fontId="3" fillId="0" borderId="0" xfId="1" applyFont="1" applyAlignment="1">
      <alignment horizontal="left"/>
    </xf>
    <xf numFmtId="0" fontId="0" fillId="0" borderId="0" xfId="0"/>
    <xf numFmtId="0" fontId="14" fillId="0" borderId="0" xfId="0" applyFont="1" applyBorder="1" applyAlignment="1">
      <alignment horizontal="center"/>
    </xf>
    <xf numFmtId="0" fontId="14" fillId="16" borderId="0" xfId="0" applyFont="1" applyFill="1" applyBorder="1"/>
    <xf numFmtId="0" fontId="14" fillId="0" borderId="0" xfId="0" applyFont="1" applyFill="1" applyBorder="1"/>
    <xf numFmtId="0" fontId="14" fillId="16" borderId="36" xfId="0" applyFont="1" applyFill="1" applyBorder="1" applyAlignment="1"/>
    <xf numFmtId="0" fontId="5" fillId="16" borderId="36" xfId="0" applyFont="1" applyFill="1" applyBorder="1" applyAlignment="1">
      <alignment horizontal="center"/>
    </xf>
    <xf numFmtId="0" fontId="14" fillId="0" borderId="36" xfId="0" applyFont="1" applyBorder="1" applyAlignment="1">
      <alignment horizontal="center"/>
    </xf>
    <xf numFmtId="0" fontId="0" fillId="0" borderId="36" xfId="0" applyBorder="1"/>
    <xf numFmtId="0" fontId="14" fillId="16" borderId="37" xfId="0" applyFont="1" applyFill="1" applyBorder="1" applyAlignment="1"/>
    <xf numFmtId="0" fontId="5" fillId="16" borderId="37" xfId="0" applyFont="1" applyFill="1" applyBorder="1" applyAlignment="1">
      <alignment horizontal="center"/>
    </xf>
    <xf numFmtId="0" fontId="14" fillId="0" borderId="37" xfId="0" applyFont="1" applyBorder="1" applyAlignment="1">
      <alignment horizontal="center"/>
    </xf>
    <xf numFmtId="0" fontId="0" fillId="0" borderId="37" xfId="0" applyBorder="1"/>
    <xf numFmtId="0" fontId="14" fillId="0" borderId="38" xfId="0" applyFont="1" applyBorder="1" applyAlignment="1">
      <alignment horizontal="center"/>
    </xf>
    <xf numFmtId="0" fontId="0" fillId="0" borderId="38" xfId="0" applyBorder="1"/>
    <xf numFmtId="0" fontId="14" fillId="16" borderId="37" xfId="0" applyFont="1" applyFill="1" applyBorder="1"/>
    <xf numFmtId="0" fontId="14" fillId="16" borderId="38" xfId="0" applyFont="1" applyFill="1" applyBorder="1"/>
    <xf numFmtId="0" fontId="14" fillId="0" borderId="36" xfId="0" applyFont="1" applyFill="1" applyBorder="1" applyAlignment="1"/>
    <xf numFmtId="0" fontId="14" fillId="0" borderId="37" xfId="0" applyFont="1" applyFill="1" applyBorder="1" applyAlignment="1"/>
    <xf numFmtId="0" fontId="14" fillId="0" borderId="37" xfId="0" applyFont="1" applyFill="1" applyBorder="1"/>
    <xf numFmtId="0" fontId="14" fillId="0" borderId="38" xfId="0" applyFont="1" applyFill="1" applyBorder="1"/>
    <xf numFmtId="0" fontId="14" fillId="17" borderId="35" xfId="0" applyFont="1" applyFill="1" applyBorder="1" applyAlignment="1">
      <alignment wrapText="1"/>
    </xf>
    <xf numFmtId="0" fontId="3" fillId="20" borderId="35" xfId="0" applyFont="1" applyFill="1" applyBorder="1" applyAlignment="1">
      <alignment horizontal="center" wrapText="1"/>
    </xf>
    <xf numFmtId="0" fontId="7" fillId="20" borderId="35" xfId="0" applyFont="1" applyFill="1" applyBorder="1" applyAlignment="1">
      <alignment horizontal="center" wrapText="1"/>
    </xf>
    <xf numFmtId="0" fontId="14" fillId="20" borderId="35" xfId="0" applyFont="1" applyFill="1" applyBorder="1" applyAlignment="1">
      <alignment wrapText="1"/>
    </xf>
    <xf numFmtId="0" fontId="14" fillId="20" borderId="35" xfId="0" applyFont="1" applyFill="1" applyBorder="1" applyAlignment="1">
      <alignment horizontal="right" wrapText="1"/>
    </xf>
    <xf numFmtId="168" fontId="14" fillId="20" borderId="35" xfId="0" applyNumberFormat="1" applyFont="1" applyFill="1" applyBorder="1" applyAlignment="1">
      <alignment horizontal="center" wrapText="1"/>
    </xf>
    <xf numFmtId="14" fontId="14" fillId="19" borderId="36" xfId="0" applyNumberFormat="1" applyFont="1" applyFill="1" applyBorder="1"/>
    <xf numFmtId="0" fontId="14" fillId="19" borderId="36" xfId="0" applyFont="1" applyFill="1" applyBorder="1" applyAlignment="1">
      <alignment horizontal="right"/>
    </xf>
    <xf numFmtId="0" fontId="14" fillId="19" borderId="37" xfId="0" applyFont="1" applyFill="1" applyBorder="1" applyAlignment="1">
      <alignment horizontal="right"/>
    </xf>
    <xf numFmtId="0" fontId="14" fillId="19" borderId="37" xfId="0" applyFont="1" applyFill="1" applyBorder="1"/>
    <xf numFmtId="0" fontId="14" fillId="19" borderId="38" xfId="0" applyFont="1" applyFill="1" applyBorder="1"/>
    <xf numFmtId="0" fontId="14" fillId="19" borderId="38" xfId="0" applyFont="1" applyFill="1" applyBorder="1" applyAlignment="1">
      <alignment horizontal="right"/>
    </xf>
    <xf numFmtId="0" fontId="14" fillId="19" borderId="0" xfId="0" applyFont="1" applyFill="1" applyBorder="1"/>
    <xf numFmtId="0" fontId="14" fillId="19" borderId="0" xfId="0" applyFont="1" applyFill="1" applyBorder="1" applyAlignment="1">
      <alignment horizontal="right"/>
    </xf>
    <xf numFmtId="0" fontId="0" fillId="18" borderId="0" xfId="0" applyFill="1"/>
    <xf numFmtId="0" fontId="0" fillId="18" borderId="0" xfId="0" applyFill="1" applyAlignment="1">
      <alignment horizontal="right"/>
    </xf>
    <xf numFmtId="0" fontId="0" fillId="0" borderId="0" xfId="0"/>
    <xf numFmtId="0" fontId="8" fillId="10" borderId="6" xfId="0" applyFont="1" applyFill="1" applyBorder="1" applyAlignment="1" applyProtection="1">
      <alignment horizontal="center" vertical="center"/>
    </xf>
    <xf numFmtId="0" fontId="21" fillId="10" borderId="1" xfId="0" applyFont="1" applyFill="1" applyBorder="1" applyAlignment="1" applyProtection="1">
      <alignment horizontal="center" vertical="center"/>
    </xf>
    <xf numFmtId="0" fontId="8" fillId="10" borderId="3" xfId="0" applyFont="1" applyFill="1" applyBorder="1" applyAlignment="1" applyProtection="1">
      <alignment horizontal="center" vertical="center"/>
    </xf>
    <xf numFmtId="0" fontId="14" fillId="0" borderId="0" xfId="0" applyFont="1" applyProtection="1">
      <protection locked="0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14" fillId="0" borderId="36" xfId="0" applyFont="1" applyBorder="1" applyAlignment="1">
      <alignment horizontal="center" shrinkToFit="1"/>
    </xf>
    <xf numFmtId="0" fontId="0" fillId="0" borderId="36" xfId="0" applyBorder="1" applyAlignment="1">
      <alignment shrinkToFit="1"/>
    </xf>
    <xf numFmtId="0" fontId="14" fillId="0" borderId="37" xfId="0" applyFont="1" applyBorder="1" applyAlignment="1">
      <alignment horizontal="center" shrinkToFit="1"/>
    </xf>
    <xf numFmtId="0" fontId="0" fillId="0" borderId="37" xfId="0" applyBorder="1" applyAlignment="1">
      <alignment shrinkToFit="1"/>
    </xf>
    <xf numFmtId="0" fontId="0" fillId="0" borderId="37" xfId="0" applyBorder="1" applyAlignment="1">
      <alignment horizontal="center" shrinkToFit="1"/>
    </xf>
    <xf numFmtId="0" fontId="14" fillId="0" borderId="37" xfId="0" applyFont="1" applyBorder="1" applyAlignment="1">
      <alignment shrinkToFit="1"/>
    </xf>
    <xf numFmtId="0" fontId="0" fillId="0" borderId="0" xfId="0"/>
    <xf numFmtId="0" fontId="14" fillId="0" borderId="37" xfId="0" applyFont="1" applyBorder="1"/>
    <xf numFmtId="0" fontId="0" fillId="0" borderId="5" xfId="0" applyNumberFormat="1" applyBorder="1"/>
    <xf numFmtId="0" fontId="0" fillId="0" borderId="0" xfId="0"/>
    <xf numFmtId="168" fontId="14" fillId="20" borderId="35" xfId="0" applyNumberFormat="1" applyFont="1" applyFill="1" applyBorder="1" applyAlignment="1">
      <alignment horizontal="right" wrapText="1"/>
    </xf>
    <xf numFmtId="0" fontId="0" fillId="0" borderId="37" xfId="0" applyBorder="1" applyAlignment="1">
      <alignment horizontal="right"/>
    </xf>
    <xf numFmtId="0" fontId="14" fillId="0" borderId="37" xfId="0" applyFont="1" applyBorder="1" applyAlignment="1">
      <alignment horizontal="right"/>
    </xf>
    <xf numFmtId="0" fontId="0" fillId="0" borderId="38" xfId="0" applyBorder="1" applyAlignment="1">
      <alignment horizontal="right"/>
    </xf>
    <xf numFmtId="0" fontId="0" fillId="0" borderId="0" xfId="0" applyAlignment="1">
      <alignment horizontal="right"/>
    </xf>
    <xf numFmtId="0" fontId="0" fillId="0" borderId="0" xfId="0"/>
    <xf numFmtId="0" fontId="0" fillId="0" borderId="0" xfId="0"/>
    <xf numFmtId="0" fontId="26" fillId="0" borderId="1" xfId="4" applyFill="1" applyBorder="1" applyProtection="1">
      <protection locked="0"/>
    </xf>
    <xf numFmtId="0" fontId="26" fillId="0" borderId="0" xfId="4" applyFill="1" applyBorder="1" applyProtection="1">
      <protection locked="0"/>
    </xf>
    <xf numFmtId="0" fontId="0" fillId="0" borderId="36" xfId="0" applyBorder="1" applyAlignment="1">
      <alignment horizontal="center" shrinkToFit="1"/>
    </xf>
    <xf numFmtId="0" fontId="14" fillId="0" borderId="36" xfId="0" applyFont="1" applyBorder="1" applyAlignment="1">
      <alignment shrinkToFit="1"/>
    </xf>
    <xf numFmtId="0" fontId="0" fillId="0" borderId="0" xfId="0"/>
    <xf numFmtId="0" fontId="14" fillId="0" borderId="0" xfId="1" applyBorder="1" applyAlignment="1">
      <alignment horizontal="left"/>
    </xf>
    <xf numFmtId="0" fontId="14" fillId="0" borderId="0" xfId="0" applyFont="1" applyBorder="1" applyProtection="1">
      <protection locked="0"/>
    </xf>
    <xf numFmtId="0" fontId="0" fillId="0" borderId="0" xfId="0" applyBorder="1" applyProtection="1">
      <protection locked="0"/>
    </xf>
    <xf numFmtId="0" fontId="0" fillId="0" borderId="0" xfId="0" applyFill="1" applyBorder="1" applyProtection="1">
      <protection locked="0"/>
    </xf>
    <xf numFmtId="0" fontId="0" fillId="0" borderId="0" xfId="0"/>
    <xf numFmtId="0" fontId="14" fillId="0" borderId="36" xfId="0" applyFont="1" applyBorder="1"/>
    <xf numFmtId="165" fontId="4" fillId="21" borderId="4" xfId="0" applyNumberFormat="1" applyFont="1" applyFill="1" applyBorder="1" applyAlignment="1" applyProtection="1">
      <alignment horizontal="center" vertical="center"/>
      <protection locked="0"/>
    </xf>
    <xf numFmtId="165" fontId="20" fillId="21" borderId="2" xfId="0" applyNumberFormat="1" applyFont="1" applyFill="1" applyBorder="1" applyAlignment="1" applyProtection="1">
      <alignment horizontal="center" vertical="center"/>
      <protection locked="0"/>
    </xf>
    <xf numFmtId="165" fontId="4" fillId="21" borderId="5" xfId="0" applyNumberFormat="1" applyFont="1" applyFill="1" applyBorder="1" applyAlignment="1" applyProtection="1">
      <alignment horizontal="center" vertical="center"/>
      <protection locked="0"/>
    </xf>
    <xf numFmtId="0" fontId="0" fillId="0" borderId="0" xfId="0"/>
    <xf numFmtId="0" fontId="0" fillId="0" borderId="0" xfId="0"/>
    <xf numFmtId="0" fontId="14" fillId="16" borderId="37" xfId="0" applyFont="1" applyFill="1" applyBorder="1" applyAlignment="1">
      <alignment horizontal="center"/>
    </xf>
    <xf numFmtId="0" fontId="14" fillId="16" borderId="38" xfId="0" applyFont="1" applyFill="1" applyBorder="1" applyAlignment="1">
      <alignment horizontal="center"/>
    </xf>
    <xf numFmtId="0" fontId="14" fillId="16" borderId="0" xfId="0" applyFont="1" applyFill="1" applyBorder="1" applyAlignment="1">
      <alignment horizontal="center"/>
    </xf>
    <xf numFmtId="165" fontId="4" fillId="21" borderId="0" xfId="0" applyNumberFormat="1" applyFont="1" applyFill="1" applyBorder="1" applyAlignment="1" applyProtection="1">
      <alignment horizontal="center" vertical="center"/>
      <protection locked="0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165" fontId="3" fillId="0" borderId="31" xfId="0" applyNumberFormat="1" applyFont="1" applyFill="1" applyBorder="1" applyAlignment="1" applyProtection="1">
      <alignment horizontal="center" vertical="center"/>
    </xf>
    <xf numFmtId="165" fontId="3" fillId="0" borderId="33" xfId="0" applyNumberFormat="1" applyFont="1" applyFill="1" applyBorder="1" applyAlignment="1" applyProtection="1">
      <alignment horizontal="center" vertical="center"/>
    </xf>
    <xf numFmtId="165" fontId="3" fillId="0" borderId="34" xfId="0" applyNumberFormat="1" applyFont="1" applyFill="1" applyBorder="1" applyAlignment="1" applyProtection="1">
      <alignment horizontal="center" vertical="center"/>
    </xf>
    <xf numFmtId="0" fontId="0" fillId="0" borderId="37" xfId="0" applyFont="1" applyBorder="1"/>
    <xf numFmtId="168" fontId="0" fillId="20" borderId="35" xfId="0" applyNumberFormat="1" applyFont="1" applyFill="1" applyBorder="1" applyAlignment="1">
      <alignment horizontal="right" wrapText="1"/>
    </xf>
    <xf numFmtId="0" fontId="0" fillId="0" borderId="0" xfId="0"/>
    <xf numFmtId="0" fontId="0" fillId="0" borderId="0" xfId="0"/>
    <xf numFmtId="0" fontId="0" fillId="0" borderId="0" xfId="0"/>
    <xf numFmtId="165" fontId="4" fillId="14" borderId="40" xfId="0" applyNumberFormat="1" applyFont="1" applyFill="1" applyBorder="1" applyAlignment="1" applyProtection="1">
      <alignment horizontal="center" vertical="center"/>
      <protection locked="0"/>
    </xf>
    <xf numFmtId="165" fontId="20" fillId="14" borderId="41" xfId="0" applyNumberFormat="1" applyFont="1" applyFill="1" applyBorder="1" applyAlignment="1" applyProtection="1">
      <alignment horizontal="center" vertical="center"/>
      <protection locked="0"/>
    </xf>
    <xf numFmtId="0" fontId="0" fillId="0" borderId="42" xfId="0" applyBorder="1"/>
    <xf numFmtId="0" fontId="30" fillId="0" borderId="0" xfId="0" applyFont="1"/>
    <xf numFmtId="165" fontId="4" fillId="0" borderId="0" xfId="0" applyNumberFormat="1" applyFont="1" applyBorder="1" applyAlignment="1" applyProtection="1">
      <alignment horizontal="center" vertical="center"/>
      <protection locked="0"/>
    </xf>
    <xf numFmtId="0" fontId="30" fillId="0" borderId="34" xfId="0" applyFont="1" applyBorder="1" applyAlignment="1">
      <alignment horizontal="right"/>
    </xf>
    <xf numFmtId="0" fontId="14" fillId="0" borderId="43" xfId="0" applyFont="1" applyBorder="1" applyAlignment="1">
      <alignment horizontal="right"/>
    </xf>
    <xf numFmtId="165" fontId="4" fillId="22" borderId="4" xfId="0" applyNumberFormat="1" applyFont="1" applyFill="1" applyBorder="1" applyAlignment="1" applyProtection="1">
      <alignment horizontal="center"/>
      <protection locked="0"/>
    </xf>
    <xf numFmtId="165" fontId="20" fillId="22" borderId="39" xfId="0" applyNumberFormat="1" applyFont="1" applyFill="1" applyBorder="1"/>
    <xf numFmtId="165" fontId="4" fillId="22" borderId="31" xfId="0" applyNumberFormat="1" applyFont="1" applyFill="1" applyBorder="1" applyAlignment="1">
      <alignment horizontal="center"/>
    </xf>
    <xf numFmtId="165" fontId="20" fillId="22" borderId="33" xfId="0" applyNumberFormat="1" applyFont="1" applyFill="1" applyBorder="1"/>
    <xf numFmtId="0" fontId="0" fillId="0" borderId="0" xfId="0"/>
    <xf numFmtId="0" fontId="0" fillId="0" borderId="0" xfId="0"/>
    <xf numFmtId="0" fontId="0" fillId="0" borderId="0" xfId="0"/>
    <xf numFmtId="0" fontId="14" fillId="23" borderId="37" xfId="0" applyFont="1" applyFill="1" applyBorder="1"/>
    <xf numFmtId="165" fontId="4" fillId="24" borderId="4" xfId="0" applyNumberFormat="1" applyFont="1" applyFill="1" applyBorder="1" applyAlignment="1" applyProtection="1">
      <alignment horizontal="center" vertical="center"/>
      <protection locked="0"/>
    </xf>
    <xf numFmtId="0" fontId="5" fillId="24" borderId="2" xfId="0" applyFont="1" applyFill="1" applyBorder="1" applyAlignment="1" applyProtection="1">
      <alignment horizontal="center" vertical="center"/>
      <protection locked="0"/>
    </xf>
    <xf numFmtId="165" fontId="4" fillId="24" borderId="5" xfId="0" applyNumberFormat="1" applyFont="1" applyFill="1" applyBorder="1" applyAlignment="1" applyProtection="1">
      <alignment horizontal="center" vertical="center"/>
      <protection locked="0"/>
    </xf>
    <xf numFmtId="165" fontId="4" fillId="15" borderId="5" xfId="0" applyNumberFormat="1" applyFont="1" applyFill="1" applyBorder="1" applyAlignment="1" applyProtection="1">
      <alignment horizontal="center" vertical="center"/>
      <protection locked="0"/>
    </xf>
    <xf numFmtId="165" fontId="4" fillId="14" borderId="5" xfId="0" applyNumberFormat="1" applyFont="1" applyFill="1" applyBorder="1" applyAlignment="1" applyProtection="1">
      <alignment horizontal="center" vertical="center"/>
      <protection locked="0"/>
    </xf>
    <xf numFmtId="0" fontId="5" fillId="6" borderId="2" xfId="0" applyFont="1" applyFill="1" applyBorder="1" applyAlignment="1" applyProtection="1">
      <alignment horizontal="center" vertical="center"/>
    </xf>
    <xf numFmtId="165" fontId="4" fillId="3" borderId="44" xfId="0" applyNumberFormat="1" applyFont="1" applyFill="1" applyBorder="1" applyAlignment="1" applyProtection="1">
      <alignment horizontal="center" vertical="center"/>
      <protection locked="0"/>
    </xf>
    <xf numFmtId="165" fontId="20" fillId="3" borderId="25" xfId="0" applyNumberFormat="1" applyFont="1" applyFill="1" applyBorder="1" applyAlignment="1" applyProtection="1">
      <alignment horizontal="center" vertical="center"/>
      <protection locked="0"/>
    </xf>
    <xf numFmtId="165" fontId="4" fillId="3" borderId="45" xfId="0" applyNumberFormat="1" applyFont="1" applyFill="1" applyBorder="1" applyAlignment="1" applyProtection="1">
      <alignment horizontal="center" vertical="center"/>
      <protection locked="0"/>
    </xf>
    <xf numFmtId="165" fontId="4" fillId="0" borderId="44" xfId="0" applyNumberFormat="1" applyFont="1" applyBorder="1" applyAlignment="1" applyProtection="1">
      <alignment horizontal="center" vertical="center"/>
      <protection locked="0"/>
    </xf>
    <xf numFmtId="165" fontId="20" fillId="0" borderId="25" xfId="0" applyNumberFormat="1" applyFont="1" applyBorder="1" applyAlignment="1" applyProtection="1">
      <alignment horizontal="center" vertical="center"/>
      <protection locked="0"/>
    </xf>
    <xf numFmtId="165" fontId="4" fillId="0" borderId="45" xfId="0" applyNumberFormat="1" applyFont="1" applyBorder="1" applyAlignment="1" applyProtection="1">
      <alignment horizontal="center" vertical="center"/>
      <protection locked="0"/>
    </xf>
    <xf numFmtId="165" fontId="4" fillId="4" borderId="6" xfId="0" applyNumberFormat="1" applyFont="1" applyFill="1" applyBorder="1" applyAlignment="1" applyProtection="1">
      <alignment horizontal="center" vertical="center"/>
      <protection locked="0"/>
    </xf>
    <xf numFmtId="165" fontId="20" fillId="4" borderId="1" xfId="0" applyNumberFormat="1" applyFont="1" applyFill="1" applyBorder="1" applyAlignment="1" applyProtection="1">
      <alignment horizontal="center" vertical="center"/>
      <protection locked="0"/>
    </xf>
    <xf numFmtId="165" fontId="4" fillId="3" borderId="3" xfId="0" applyNumberFormat="1" applyFont="1" applyFill="1" applyBorder="1" applyAlignment="1" applyProtection="1">
      <alignment horizontal="center" vertical="center"/>
      <protection locked="0"/>
    </xf>
    <xf numFmtId="0" fontId="0" fillId="0" borderId="0" xfId="0"/>
    <xf numFmtId="0" fontId="20" fillId="6" borderId="2" xfId="0" applyNumberFormat="1" applyFont="1" applyFill="1" applyBorder="1" applyAlignment="1" applyProtection="1">
      <alignment horizontal="center" vertical="center"/>
    </xf>
    <xf numFmtId="0" fontId="5" fillId="6" borderId="5" xfId="0" applyNumberFormat="1" applyFont="1" applyFill="1" applyBorder="1" applyAlignment="1" applyProtection="1">
      <alignment horizontal="center" vertical="center"/>
    </xf>
    <xf numFmtId="0" fontId="5" fillId="6" borderId="4" xfId="0" applyNumberFormat="1" applyFont="1" applyFill="1" applyBorder="1" applyAlignment="1" applyProtection="1">
      <alignment horizontal="center" vertical="center"/>
    </xf>
    <xf numFmtId="165" fontId="31" fillId="0" borderId="4" xfId="0" applyNumberFormat="1" applyFont="1" applyFill="1" applyBorder="1" applyAlignment="1" applyProtection="1">
      <alignment horizontal="center" vertical="center"/>
      <protection locked="0"/>
    </xf>
    <xf numFmtId="165" fontId="23" fillId="0" borderId="2" xfId="0" applyNumberFormat="1" applyFont="1" applyFill="1" applyBorder="1" applyAlignment="1" applyProtection="1">
      <alignment horizontal="center" vertical="center"/>
      <protection locked="0"/>
    </xf>
    <xf numFmtId="165" fontId="31" fillId="0" borderId="5" xfId="0" applyNumberFormat="1" applyFont="1" applyFill="1" applyBorder="1" applyAlignment="1" applyProtection="1">
      <alignment horizontal="center" vertical="center"/>
      <protection locked="0"/>
    </xf>
    <xf numFmtId="165" fontId="32" fillId="0" borderId="5" xfId="0" applyNumberFormat="1" applyFont="1" applyBorder="1" applyAlignment="1" applyProtection="1">
      <alignment horizontal="center" vertical="center"/>
      <protection locked="0"/>
    </xf>
    <xf numFmtId="0" fontId="0" fillId="0" borderId="0" xfId="0"/>
    <xf numFmtId="0" fontId="8" fillId="10" borderId="2" xfId="0" applyFont="1" applyFill="1" applyBorder="1" applyAlignment="1" applyProtection="1">
      <alignment horizontal="center" vertical="center"/>
    </xf>
    <xf numFmtId="165" fontId="4" fillId="0" borderId="46" xfId="0" applyNumberFormat="1" applyFont="1" applyBorder="1" applyAlignment="1" applyProtection="1">
      <alignment horizontal="center" vertical="center"/>
      <protection locked="0"/>
    </xf>
    <xf numFmtId="165" fontId="20" fillId="0" borderId="47" xfId="0" applyNumberFormat="1" applyFont="1" applyBorder="1" applyAlignment="1" applyProtection="1">
      <alignment horizontal="center" vertical="center"/>
      <protection locked="0"/>
    </xf>
    <xf numFmtId="165" fontId="4" fillId="0" borderId="48" xfId="0" applyNumberFormat="1" applyFont="1" applyBorder="1" applyAlignment="1" applyProtection="1">
      <alignment horizontal="center" vertical="center"/>
      <protection locked="0"/>
    </xf>
    <xf numFmtId="165" fontId="4" fillId="3" borderId="2" xfId="0" applyNumberFormat="1" applyFont="1" applyFill="1" applyBorder="1" applyAlignment="1" applyProtection="1">
      <alignment horizontal="center" vertical="center"/>
      <protection locked="0"/>
    </xf>
    <xf numFmtId="165" fontId="4" fillId="0" borderId="6" xfId="0" applyNumberFormat="1" applyFont="1" applyFill="1" applyBorder="1" applyAlignment="1" applyProtection="1">
      <alignment horizontal="center" vertical="center"/>
      <protection locked="0"/>
    </xf>
    <xf numFmtId="165" fontId="20" fillId="0" borderId="1" xfId="0" applyNumberFormat="1" applyFont="1" applyFill="1" applyBorder="1" applyAlignment="1" applyProtection="1">
      <alignment horizontal="center" vertical="center"/>
      <protection locked="0"/>
    </xf>
    <xf numFmtId="165" fontId="4" fillId="0" borderId="1" xfId="0" applyNumberFormat="1" applyFont="1" applyFill="1" applyBorder="1" applyAlignment="1" applyProtection="1">
      <alignment horizontal="center" vertical="center"/>
      <protection locked="0"/>
    </xf>
    <xf numFmtId="165" fontId="4" fillId="3" borderId="46" xfId="0" applyNumberFormat="1" applyFont="1" applyFill="1" applyBorder="1" applyAlignment="1" applyProtection="1">
      <alignment horizontal="center" vertical="center"/>
      <protection locked="0"/>
    </xf>
    <xf numFmtId="165" fontId="20" fillId="3" borderId="47" xfId="0" applyNumberFormat="1" applyFont="1" applyFill="1" applyBorder="1" applyAlignment="1" applyProtection="1">
      <alignment horizontal="center" vertical="center"/>
      <protection locked="0"/>
    </xf>
    <xf numFmtId="165" fontId="4" fillId="3" borderId="48" xfId="0" applyNumberFormat="1" applyFont="1" applyFill="1" applyBorder="1" applyAlignment="1" applyProtection="1">
      <alignment horizontal="center" vertical="center"/>
      <protection locked="0"/>
    </xf>
    <xf numFmtId="0" fontId="8" fillId="2" borderId="0" xfId="0" applyNumberFormat="1" applyFont="1" applyFill="1" applyBorder="1" applyAlignment="1" applyProtection="1">
      <alignment horizontal="center" vertical="center"/>
    </xf>
    <xf numFmtId="0" fontId="8" fillId="2" borderId="16" xfId="0" applyNumberFormat="1" applyFont="1" applyFill="1" applyBorder="1" applyAlignment="1" applyProtection="1">
      <alignment horizontal="center" vertical="center"/>
    </xf>
    <xf numFmtId="0" fontId="8" fillId="2" borderId="4" xfId="0" applyNumberFormat="1" applyFont="1" applyFill="1" applyBorder="1" applyAlignment="1" applyProtection="1">
      <alignment horizontal="center" vertical="center"/>
    </xf>
    <xf numFmtId="0" fontId="8" fillId="2" borderId="2" xfId="0" applyNumberFormat="1" applyFont="1" applyFill="1" applyBorder="1" applyAlignment="1" applyProtection="1">
      <alignment horizontal="center" vertical="center"/>
    </xf>
    <xf numFmtId="0" fontId="8" fillId="2" borderId="5" xfId="0" applyNumberFormat="1" applyFont="1" applyFill="1" applyBorder="1" applyAlignment="1" applyProtection="1">
      <alignment horizontal="center" vertical="center"/>
    </xf>
    <xf numFmtId="165" fontId="4" fillId="0" borderId="49" xfId="0" applyNumberFormat="1" applyFont="1" applyBorder="1" applyAlignment="1" applyProtection="1">
      <alignment horizontal="center" vertical="center"/>
      <protection locked="0"/>
    </xf>
    <xf numFmtId="165" fontId="4" fillId="0" borderId="50" xfId="0" applyNumberFormat="1" applyFont="1" applyBorder="1" applyAlignment="1" applyProtection="1">
      <alignment horizontal="center" vertical="center"/>
      <protection locked="0"/>
    </xf>
    <xf numFmtId="1" fontId="12" fillId="0" borderId="6" xfId="0" applyNumberFormat="1" applyFont="1" applyBorder="1" applyAlignment="1" applyProtection="1">
      <alignment horizontal="center" vertical="center"/>
    </xf>
    <xf numFmtId="1" fontId="12" fillId="0" borderId="1" xfId="0" applyNumberFormat="1" applyFont="1" applyBorder="1" applyAlignment="1" applyProtection="1">
      <alignment horizontal="center" vertical="center"/>
    </xf>
    <xf numFmtId="1" fontId="12" fillId="0" borderId="3" xfId="0" applyNumberFormat="1" applyFont="1" applyBorder="1" applyAlignment="1" applyProtection="1">
      <alignment horizontal="center" vertical="center"/>
    </xf>
    <xf numFmtId="0" fontId="0" fillId="0" borderId="0" xfId="0"/>
    <xf numFmtId="1" fontId="12" fillId="0" borderId="0" xfId="0" applyNumberFormat="1" applyFont="1" applyBorder="1" applyAlignment="1" applyProtection="1">
      <alignment horizontal="center" vertical="center"/>
    </xf>
    <xf numFmtId="1" fontId="5" fillId="0" borderId="0" xfId="0" applyNumberFormat="1" applyFont="1" applyBorder="1" applyAlignment="1" applyProtection="1">
      <alignment horizontal="center" vertical="center"/>
    </xf>
    <xf numFmtId="1" fontId="5" fillId="0" borderId="0" xfId="0" applyNumberFormat="1" applyFont="1" applyBorder="1" applyAlignment="1" applyProtection="1">
      <alignment horizontal="center" vertical="center"/>
      <protection locked="0"/>
    </xf>
    <xf numFmtId="165" fontId="3" fillId="0" borderId="31" xfId="0" applyNumberFormat="1" applyFont="1" applyFill="1" applyBorder="1" applyAlignment="1" applyProtection="1">
      <alignment horizontal="center" vertical="center"/>
    </xf>
    <xf numFmtId="165" fontId="3" fillId="0" borderId="33" xfId="0" applyNumberFormat="1" applyFont="1" applyFill="1" applyBorder="1" applyAlignment="1" applyProtection="1">
      <alignment horizontal="center" vertical="center"/>
    </xf>
    <xf numFmtId="165" fontId="3" fillId="0" borderId="34" xfId="0" applyNumberFormat="1" applyFont="1" applyFill="1" applyBorder="1" applyAlignment="1" applyProtection="1">
      <alignment horizontal="center" vertical="center"/>
    </xf>
    <xf numFmtId="14" fontId="12" fillId="0" borderId="0" xfId="0" applyNumberFormat="1" applyFont="1" applyAlignment="1">
      <alignment horizontal="center"/>
    </xf>
    <xf numFmtId="0" fontId="12" fillId="0" borderId="0" xfId="0" applyFont="1" applyFill="1" applyBorder="1" applyAlignment="1">
      <alignment horizontal="left"/>
    </xf>
    <xf numFmtId="0" fontId="15" fillId="0" borderId="0" xfId="0" applyFont="1" applyAlignment="1">
      <alignment horizontal="center"/>
    </xf>
    <xf numFmtId="0" fontId="3" fillId="0" borderId="10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3" fillId="0" borderId="16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3" fillId="0" borderId="10" xfId="0" applyFont="1" applyBorder="1" applyAlignment="1">
      <alignment horizontal="center" wrapText="1"/>
    </xf>
    <xf numFmtId="0" fontId="3" fillId="0" borderId="16" xfId="0" applyFont="1" applyBorder="1" applyAlignment="1">
      <alignment horizontal="center" wrapText="1"/>
    </xf>
  </cellXfs>
  <cellStyles count="6">
    <cellStyle name="Hyperlink" xfId="4" builtinId="8"/>
    <cellStyle name="Hyperlink 2" xfId="3"/>
    <cellStyle name="Normal" xfId="0" builtinId="0"/>
    <cellStyle name="Normal 2" xfId="1"/>
    <cellStyle name="Normal 3" xfId="2"/>
    <cellStyle name="Normal 4" xfId="5"/>
  </cellStyles>
  <dxfs count="54">
    <dxf>
      <fill>
        <patternFill>
          <bgColor rgb="FF92D050"/>
        </patternFill>
      </fill>
    </dxf>
    <dxf>
      <fill>
        <patternFill>
          <bgColor rgb="FF99CCFF"/>
        </patternFill>
      </fill>
    </dxf>
    <dxf>
      <fill>
        <patternFill>
          <bgColor rgb="FFCC99FF"/>
        </patternFill>
      </fill>
    </dxf>
    <dxf>
      <fill>
        <patternFill>
          <bgColor rgb="FF99CCFF"/>
        </patternFill>
      </fill>
    </dxf>
    <dxf>
      <font>
        <b/>
        <i val="0"/>
        <color theme="2"/>
      </font>
      <fill>
        <patternFill>
          <bgColor rgb="FFC00000"/>
        </patternFill>
      </fill>
    </dxf>
    <dxf>
      <fill>
        <patternFill>
          <bgColor rgb="FF99CCFF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CC99FF"/>
        </patternFill>
      </fill>
    </dxf>
    <dxf>
      <fill>
        <patternFill>
          <bgColor rgb="FF99CCFF"/>
        </patternFill>
      </fill>
    </dxf>
    <dxf>
      <font>
        <b/>
        <i val="0"/>
        <color theme="2"/>
      </font>
      <fill>
        <patternFill>
          <bgColor rgb="FFC00000"/>
        </patternFill>
      </fill>
    </dxf>
    <dxf>
      <fill>
        <patternFill>
          <bgColor rgb="FF99CCFF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CC99FF"/>
        </patternFill>
      </fill>
    </dxf>
    <dxf>
      <fill>
        <patternFill>
          <bgColor rgb="FF99CCFF"/>
        </patternFill>
      </fill>
    </dxf>
    <dxf>
      <font>
        <b/>
        <i val="0"/>
        <color theme="2"/>
      </font>
      <fill>
        <patternFill>
          <bgColor rgb="FFC00000"/>
        </patternFill>
      </fill>
    </dxf>
    <dxf>
      <fill>
        <patternFill patternType="lightDown">
          <fgColor theme="7" tint="0.59996337778862885"/>
          <bgColor auto="1"/>
        </patternFill>
      </fill>
    </dxf>
    <dxf>
      <fill>
        <patternFill patternType="lightUp">
          <fgColor theme="6" tint="0.59996337778862885"/>
        </patternFill>
      </fill>
    </dxf>
    <dxf>
      <fill>
        <patternFill patternType="lightVertical">
          <fgColor theme="9" tint="0.59996337778862885"/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00000"/>
      </font>
      <fill>
        <patternFill>
          <bgColor rgb="FFFFC7CE"/>
        </patternFill>
      </fill>
    </dxf>
    <dxf>
      <font>
        <color rgb="FFC00000"/>
      </font>
      <fill>
        <patternFill>
          <bgColor rgb="FFFFC7CE"/>
        </patternFill>
      </fill>
    </dxf>
    <dxf>
      <font>
        <color rgb="FFC00000"/>
      </font>
      <fill>
        <patternFill>
          <bgColor rgb="FFFFC7CE"/>
        </patternFill>
      </fill>
    </dxf>
    <dxf>
      <font>
        <color rgb="FFC00000"/>
      </font>
      <fill>
        <patternFill>
          <bgColor rgb="FFFFC7CE"/>
        </patternFill>
      </fill>
    </dxf>
    <dxf>
      <font>
        <color rgb="FFC00000"/>
      </font>
      <fill>
        <patternFill>
          <bgColor rgb="FFFFC7CE"/>
        </patternFill>
      </fill>
    </dxf>
    <dxf>
      <font>
        <color rgb="FFC00000"/>
      </font>
      <fill>
        <patternFill>
          <bgColor rgb="FFFFC7CE"/>
        </patternFill>
      </fill>
    </dxf>
    <dxf>
      <font>
        <color rgb="FFC00000"/>
      </font>
      <fill>
        <patternFill>
          <bgColor rgb="FFFFC7CE"/>
        </patternFill>
      </fill>
    </dxf>
    <dxf>
      <font>
        <color rgb="FFC00000"/>
      </font>
      <fill>
        <patternFill>
          <bgColor rgb="FFFFC7CE"/>
        </patternFill>
      </fill>
    </dxf>
    <dxf>
      <font>
        <color rgb="FFC00000"/>
      </font>
      <fill>
        <patternFill>
          <bgColor rgb="FFFFC7CE"/>
        </patternFill>
      </fill>
    </dxf>
    <dxf>
      <font>
        <color rgb="FFC00000"/>
      </font>
      <fill>
        <patternFill>
          <bgColor rgb="FFFFC7CE"/>
        </patternFill>
      </fill>
    </dxf>
    <dxf>
      <font>
        <color rgb="FFC00000"/>
      </font>
      <fill>
        <patternFill>
          <bgColor rgb="FFFFC7CE"/>
        </patternFill>
      </fill>
    </dxf>
    <dxf>
      <font>
        <color rgb="FFC00000"/>
      </font>
      <fill>
        <patternFill>
          <bgColor rgb="FFFFC7CE"/>
        </patternFill>
      </fill>
    </dxf>
    <dxf>
      <font>
        <color rgb="FFC00000"/>
      </font>
      <fill>
        <patternFill>
          <bgColor rgb="FFFFC7CE"/>
        </patternFill>
      </fill>
    </dxf>
    <dxf>
      <font>
        <color rgb="FFC00000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C7CE"/>
      <color rgb="FF9C00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333333333333329E-2"/>
          <c:y val="4.8611111111111112E-2"/>
          <c:w val="0.79791666666666672"/>
          <c:h val="0.7256944444444444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Calculator!$F$3</c:f>
              <c:strCache>
                <c:ptCount val="1"/>
                <c:pt idx="0">
                  <c:v>L1</c:v>
                </c:pt>
              </c:strCache>
            </c:strRef>
          </c:tx>
          <c:spPr>
            <a:solidFill>
              <a:srgbClr val="4F81BD"/>
            </a:solidFill>
            <a:ln w="25400">
              <a:noFill/>
            </a:ln>
          </c:spPr>
          <c:invertIfNegative val="0"/>
          <c:cat>
            <c:strRef>
              <c:f>Calculator!$A$4:$A$20</c:f>
              <c:strCache>
                <c:ptCount val="17"/>
                <c:pt idx="0">
                  <c:v>5am</c:v>
                </c:pt>
                <c:pt idx="1">
                  <c:v>6am </c:v>
                </c:pt>
                <c:pt idx="2">
                  <c:v>7am</c:v>
                </c:pt>
                <c:pt idx="3">
                  <c:v>8am</c:v>
                </c:pt>
                <c:pt idx="4">
                  <c:v>9am</c:v>
                </c:pt>
                <c:pt idx="5">
                  <c:v>10am</c:v>
                </c:pt>
                <c:pt idx="6">
                  <c:v>11am</c:v>
                </c:pt>
                <c:pt idx="7">
                  <c:v>12am</c:v>
                </c:pt>
                <c:pt idx="8">
                  <c:v>1pm</c:v>
                </c:pt>
                <c:pt idx="9">
                  <c:v>2pm</c:v>
                </c:pt>
                <c:pt idx="10">
                  <c:v>3pm</c:v>
                </c:pt>
                <c:pt idx="11">
                  <c:v>4pm</c:v>
                </c:pt>
                <c:pt idx="12">
                  <c:v>5pm</c:v>
                </c:pt>
                <c:pt idx="13">
                  <c:v>6pm</c:v>
                </c:pt>
                <c:pt idx="14">
                  <c:v>7pm</c:v>
                </c:pt>
                <c:pt idx="15">
                  <c:v>Swing </c:v>
                </c:pt>
                <c:pt idx="16">
                  <c:v>Grave</c:v>
                </c:pt>
              </c:strCache>
            </c:strRef>
          </c:cat>
          <c:val>
            <c:numRef>
              <c:f>Calculator!$F$4:$F$20</c:f>
              <c:numCache>
                <c:formatCode>General</c:formatCode>
                <c:ptCount val="17"/>
                <c:pt idx="0">
                  <c:v>0</c:v>
                </c:pt>
                <c:pt idx="1">
                  <c:v>3</c:v>
                </c:pt>
                <c:pt idx="2">
                  <c:v>8</c:v>
                </c:pt>
                <c:pt idx="3">
                  <c:v>10</c:v>
                </c:pt>
                <c:pt idx="4">
                  <c:v>16</c:v>
                </c:pt>
                <c:pt idx="5">
                  <c:v>13</c:v>
                </c:pt>
                <c:pt idx="6">
                  <c:v>11</c:v>
                </c:pt>
                <c:pt idx="7">
                  <c:v>14</c:v>
                </c:pt>
                <c:pt idx="8">
                  <c:v>10</c:v>
                </c:pt>
                <c:pt idx="9">
                  <c:v>19</c:v>
                </c:pt>
                <c:pt idx="10">
                  <c:v>16</c:v>
                </c:pt>
                <c:pt idx="11">
                  <c:v>11</c:v>
                </c:pt>
                <c:pt idx="12">
                  <c:v>9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1</c:v>
                </c:pt>
              </c:numCache>
            </c:numRef>
          </c:val>
        </c:ser>
        <c:ser>
          <c:idx val="1"/>
          <c:order val="1"/>
          <c:tx>
            <c:strRef>
              <c:f>Calculator!$J$3</c:f>
              <c:strCache>
                <c:ptCount val="1"/>
                <c:pt idx="0">
                  <c:v>L2</c:v>
                </c:pt>
              </c:strCache>
            </c:strRef>
          </c:tx>
          <c:spPr>
            <a:solidFill>
              <a:srgbClr val="C0504D"/>
            </a:solidFill>
            <a:ln w="25400">
              <a:noFill/>
            </a:ln>
          </c:spPr>
          <c:invertIfNegative val="0"/>
          <c:cat>
            <c:strRef>
              <c:f>Calculator!$A$4:$A$20</c:f>
              <c:strCache>
                <c:ptCount val="17"/>
                <c:pt idx="0">
                  <c:v>5am</c:v>
                </c:pt>
                <c:pt idx="1">
                  <c:v>6am </c:v>
                </c:pt>
                <c:pt idx="2">
                  <c:v>7am</c:v>
                </c:pt>
                <c:pt idx="3">
                  <c:v>8am</c:v>
                </c:pt>
                <c:pt idx="4">
                  <c:v>9am</c:v>
                </c:pt>
                <c:pt idx="5">
                  <c:v>10am</c:v>
                </c:pt>
                <c:pt idx="6">
                  <c:v>11am</c:v>
                </c:pt>
                <c:pt idx="7">
                  <c:v>12am</c:v>
                </c:pt>
                <c:pt idx="8">
                  <c:v>1pm</c:v>
                </c:pt>
                <c:pt idx="9">
                  <c:v>2pm</c:v>
                </c:pt>
                <c:pt idx="10">
                  <c:v>3pm</c:v>
                </c:pt>
                <c:pt idx="11">
                  <c:v>4pm</c:v>
                </c:pt>
                <c:pt idx="12">
                  <c:v>5pm</c:v>
                </c:pt>
                <c:pt idx="13">
                  <c:v>6pm</c:v>
                </c:pt>
                <c:pt idx="14">
                  <c:v>7pm</c:v>
                </c:pt>
                <c:pt idx="15">
                  <c:v>Swing </c:v>
                </c:pt>
                <c:pt idx="16">
                  <c:v>Grave</c:v>
                </c:pt>
              </c:strCache>
            </c:strRef>
          </c:cat>
          <c:val>
            <c:numRef>
              <c:f>Calculator!$J$4:$J$20</c:f>
              <c:numCache>
                <c:formatCode>General</c:formatCode>
                <c:ptCount val="17"/>
                <c:pt idx="0">
                  <c:v>1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9</c:v>
                </c:pt>
                <c:pt idx="5">
                  <c:v>8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10</c:v>
                </c:pt>
                <c:pt idx="10">
                  <c:v>9</c:v>
                </c:pt>
                <c:pt idx="11">
                  <c:v>8</c:v>
                </c:pt>
                <c:pt idx="12">
                  <c:v>6</c:v>
                </c:pt>
                <c:pt idx="13">
                  <c:v>4</c:v>
                </c:pt>
                <c:pt idx="14">
                  <c:v>3</c:v>
                </c:pt>
                <c:pt idx="15">
                  <c:v>3</c:v>
                </c:pt>
                <c:pt idx="16">
                  <c:v>3</c:v>
                </c:pt>
              </c:numCache>
            </c:numRef>
          </c:val>
        </c:ser>
        <c:ser>
          <c:idx val="2"/>
          <c:order val="2"/>
          <c:tx>
            <c:strRef>
              <c:f>Calculator!$N$3</c:f>
              <c:strCache>
                <c:ptCount val="1"/>
                <c:pt idx="0">
                  <c:v>L3</c:v>
                </c:pt>
              </c:strCache>
            </c:strRef>
          </c:tx>
          <c:spPr>
            <a:solidFill>
              <a:srgbClr val="9BBB59"/>
            </a:solidFill>
            <a:ln w="25400">
              <a:noFill/>
            </a:ln>
          </c:spPr>
          <c:invertIfNegative val="0"/>
          <c:cat>
            <c:strRef>
              <c:f>Calculator!$A$4:$A$20</c:f>
              <c:strCache>
                <c:ptCount val="17"/>
                <c:pt idx="0">
                  <c:v>5am</c:v>
                </c:pt>
                <c:pt idx="1">
                  <c:v>6am </c:v>
                </c:pt>
                <c:pt idx="2">
                  <c:v>7am</c:v>
                </c:pt>
                <c:pt idx="3">
                  <c:v>8am</c:v>
                </c:pt>
                <c:pt idx="4">
                  <c:v>9am</c:v>
                </c:pt>
                <c:pt idx="5">
                  <c:v>10am</c:v>
                </c:pt>
                <c:pt idx="6">
                  <c:v>11am</c:v>
                </c:pt>
                <c:pt idx="7">
                  <c:v>12am</c:v>
                </c:pt>
                <c:pt idx="8">
                  <c:v>1pm</c:v>
                </c:pt>
                <c:pt idx="9">
                  <c:v>2pm</c:v>
                </c:pt>
                <c:pt idx="10">
                  <c:v>3pm</c:v>
                </c:pt>
                <c:pt idx="11">
                  <c:v>4pm</c:v>
                </c:pt>
                <c:pt idx="12">
                  <c:v>5pm</c:v>
                </c:pt>
                <c:pt idx="13">
                  <c:v>6pm</c:v>
                </c:pt>
                <c:pt idx="14">
                  <c:v>7pm</c:v>
                </c:pt>
                <c:pt idx="15">
                  <c:v>Swing </c:v>
                </c:pt>
                <c:pt idx="16">
                  <c:v>Grave</c:v>
                </c:pt>
              </c:strCache>
            </c:strRef>
          </c:cat>
          <c:val>
            <c:numRef>
              <c:f>Calculator!$N$4:$N$20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3</c:v>
                </c:pt>
                <c:pt idx="9">
                  <c:v>5</c:v>
                </c:pt>
                <c:pt idx="10">
                  <c:v>4</c:v>
                </c:pt>
                <c:pt idx="11">
                  <c:v>3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95156344"/>
        <c:axId val="393847624"/>
      </c:barChart>
      <c:catAx>
        <c:axId val="395156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27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93847624"/>
        <c:crosses val="autoZero"/>
        <c:auto val="1"/>
        <c:lblAlgn val="ctr"/>
        <c:lblOffset val="100"/>
        <c:noMultiLvlLbl val="0"/>
      </c:catAx>
      <c:valAx>
        <c:axId val="3938476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9515634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r"/>
      <c:layout>
        <c:manualLayout>
          <c:xMode val="edge"/>
          <c:yMode val="edge"/>
          <c:x val="0.92915557969046969"/>
          <c:y val="0.43399604059731445"/>
          <c:w val="5.4417487874867554E-2"/>
          <c:h val="0.18293372031567723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1" l="0.75" r="0.75" t="1" header="0.5" footer="0.5"/>
    <c:pageSetup/>
  </c:printSettings>
</c:chartSpace>
</file>

<file path=xl/ctrlProps/ctrlProp1.xml><?xml version="1.0" encoding="utf-8"?>
<formControlPr xmlns="http://schemas.microsoft.com/office/spreadsheetml/2009/9/main" objectType="Radio" checked="Checked" firstButton="1" lockText="1"/>
</file>

<file path=xl/ctrlProps/ctrlProp2.xml><?xml version="1.0" encoding="utf-8"?>
<formControlPr xmlns="http://schemas.microsoft.com/office/spreadsheetml/2009/9/main" objectType="Radio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78</xdr:row>
          <xdr:rowOff>19050</xdr:rowOff>
        </xdr:from>
        <xdr:to>
          <xdr:col>1</xdr:col>
          <xdr:colOff>0</xdr:colOff>
          <xdr:row>79</xdr:row>
          <xdr:rowOff>76200</xdr:rowOff>
        </xdr:to>
        <xdr:sp macro="" textlink="">
          <xdr:nvSpPr>
            <xdr:cNvPr id="4704" name="Option Button 608" hidden="1">
              <a:extLst>
                <a:ext uri="{63B3BB69-23CF-44E3-9099-C40C66FF867C}">
                  <a14:compatExt spid="_x0000_s4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0C0C0" mc:Ignorable="a14" a14:legacySpreadsheetColorIndex="2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C0C0C0" mc:Ignorable="a14" a14:legacySpreadsheetColorIndex="22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Send emails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79</xdr:row>
          <xdr:rowOff>85725</xdr:rowOff>
        </xdr:from>
        <xdr:to>
          <xdr:col>0</xdr:col>
          <xdr:colOff>1466850</xdr:colOff>
          <xdr:row>80</xdr:row>
          <xdr:rowOff>142875</xdr:rowOff>
        </xdr:to>
        <xdr:sp macro="" textlink="">
          <xdr:nvSpPr>
            <xdr:cNvPr id="4705" name="Option Button 609" hidden="1">
              <a:extLst>
                <a:ext uri="{63B3BB69-23CF-44E3-9099-C40C66FF867C}">
                  <a14:compatExt spid="_x0000_s47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0C0C0" mc:Ignorable="a14" a14:legacySpreadsheetColorIndex="2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Create but don't Send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82</xdr:row>
          <xdr:rowOff>28575</xdr:rowOff>
        </xdr:from>
        <xdr:to>
          <xdr:col>0</xdr:col>
          <xdr:colOff>733425</xdr:colOff>
          <xdr:row>83</xdr:row>
          <xdr:rowOff>76200</xdr:rowOff>
        </xdr:to>
        <xdr:sp macro="" textlink="">
          <xdr:nvSpPr>
            <xdr:cNvPr id="4706" name="Button 610" hidden="1">
              <a:extLst>
                <a:ext uri="{63B3BB69-23CF-44E3-9099-C40C66FF867C}">
                  <a14:compatExt spid="_x0000_s4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Go!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47625</xdr:rowOff>
    </xdr:from>
    <xdr:to>
      <xdr:col>15</xdr:col>
      <xdr:colOff>390525</xdr:colOff>
      <xdr:row>39</xdr:row>
      <xdr:rowOff>85725</xdr:rowOff>
    </xdr:to>
    <xdr:graphicFrame macro="">
      <xdr:nvGraphicFramePr>
        <xdr:cNvPr id="105376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8.bin"/><Relationship Id="rId13" Type="http://schemas.openxmlformats.org/officeDocument/2006/relationships/printerSettings" Target="../printerSettings/printerSettings13.bin"/><Relationship Id="rId18" Type="http://schemas.openxmlformats.org/officeDocument/2006/relationships/hyperlink" Target="mailto:glanderson@xactware.com" TargetMode="External"/><Relationship Id="rId26" Type="http://schemas.openxmlformats.org/officeDocument/2006/relationships/hyperlink" Target="mailto:mmnorton@xactware.com" TargetMode="External"/><Relationship Id="rId39" Type="http://schemas.openxmlformats.org/officeDocument/2006/relationships/drawing" Target="../drawings/drawing1.xml"/><Relationship Id="rId3" Type="http://schemas.openxmlformats.org/officeDocument/2006/relationships/printerSettings" Target="../printerSettings/printerSettings3.bin"/><Relationship Id="rId21" Type="http://schemas.openxmlformats.org/officeDocument/2006/relationships/hyperlink" Target="mailto:iwbathelt@xactware.com" TargetMode="External"/><Relationship Id="rId34" Type="http://schemas.openxmlformats.org/officeDocument/2006/relationships/hyperlink" Target="mailto:ptstewart@xactware.com" TargetMode="External"/><Relationship Id="rId42" Type="http://schemas.openxmlformats.org/officeDocument/2006/relationships/ctrlProp" Target="../ctrlProps/ctrlProp2.xml"/><Relationship Id="rId7" Type="http://schemas.openxmlformats.org/officeDocument/2006/relationships/printerSettings" Target="../printerSettings/printerSettings7.bin"/><Relationship Id="rId12" Type="http://schemas.openxmlformats.org/officeDocument/2006/relationships/printerSettings" Target="../printerSettings/printerSettings12.bin"/><Relationship Id="rId17" Type="http://schemas.openxmlformats.org/officeDocument/2006/relationships/hyperlink" Target="mailto:eevertsen@xactware.com" TargetMode="External"/><Relationship Id="rId25" Type="http://schemas.openxmlformats.org/officeDocument/2006/relationships/hyperlink" Target="mailto:kjhunter@xactware.com" TargetMode="External"/><Relationship Id="rId33" Type="http://schemas.openxmlformats.org/officeDocument/2006/relationships/hyperlink" Target="mailto:srvanbuskirk@xactware.com" TargetMode="External"/><Relationship Id="rId38" Type="http://schemas.openxmlformats.org/officeDocument/2006/relationships/printerSettings" Target="../printerSettings/printerSettings14.bin"/><Relationship Id="rId2" Type="http://schemas.openxmlformats.org/officeDocument/2006/relationships/printerSettings" Target="../printerSettings/printerSettings2.bin"/><Relationship Id="rId16" Type="http://schemas.openxmlformats.org/officeDocument/2006/relationships/hyperlink" Target="mailto:embaron@xactware.com" TargetMode="External"/><Relationship Id="rId20" Type="http://schemas.openxmlformats.org/officeDocument/2006/relationships/hyperlink" Target="mailto:grkiester@xactware.com" TargetMode="External"/><Relationship Id="rId29" Type="http://schemas.openxmlformats.org/officeDocument/2006/relationships/hyperlink" Target="mailto:pesoares@xactware.com" TargetMode="External"/><Relationship Id="rId41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printerSettings" Target="../printerSettings/printerSettings6.bin"/><Relationship Id="rId11" Type="http://schemas.openxmlformats.org/officeDocument/2006/relationships/printerSettings" Target="../printerSettings/printerSettings11.bin"/><Relationship Id="rId24" Type="http://schemas.openxmlformats.org/officeDocument/2006/relationships/hyperlink" Target="mailto:kawood@xactware.com" TargetMode="External"/><Relationship Id="rId32" Type="http://schemas.openxmlformats.org/officeDocument/2006/relationships/hyperlink" Target="mailto:sdthompson@xactware.com" TargetMode="External"/><Relationship Id="rId37" Type="http://schemas.openxmlformats.org/officeDocument/2006/relationships/hyperlink" Target="mailto:bdrowan@xactware.com" TargetMode="External"/><Relationship Id="rId40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5.bin"/><Relationship Id="rId15" Type="http://schemas.openxmlformats.org/officeDocument/2006/relationships/hyperlink" Target="mailto:crneil@xactware.com" TargetMode="External"/><Relationship Id="rId23" Type="http://schemas.openxmlformats.org/officeDocument/2006/relationships/hyperlink" Target="mailto:jdsmith@xactware.com" TargetMode="External"/><Relationship Id="rId28" Type="http://schemas.openxmlformats.org/officeDocument/2006/relationships/hyperlink" Target="mailto:ndmullen@xactware.com" TargetMode="External"/><Relationship Id="rId36" Type="http://schemas.openxmlformats.org/officeDocument/2006/relationships/hyperlink" Target="mailto:wrburnett@xactware.com" TargetMode="External"/><Relationship Id="rId10" Type="http://schemas.openxmlformats.org/officeDocument/2006/relationships/printerSettings" Target="../printerSettings/printerSettings10.bin"/><Relationship Id="rId19" Type="http://schemas.openxmlformats.org/officeDocument/2006/relationships/hyperlink" Target="mailto:gghpartridge@xactware.com" TargetMode="External"/><Relationship Id="rId31" Type="http://schemas.openxmlformats.org/officeDocument/2006/relationships/hyperlink" Target="mailto:rhcrimm@xactware.com" TargetMode="External"/><Relationship Id="rId44" Type="http://schemas.openxmlformats.org/officeDocument/2006/relationships/comments" Target="../comments1.xml"/><Relationship Id="rId4" Type="http://schemas.openxmlformats.org/officeDocument/2006/relationships/printerSettings" Target="../printerSettings/printerSettings4.bin"/><Relationship Id="rId9" Type="http://schemas.openxmlformats.org/officeDocument/2006/relationships/printerSettings" Target="../printerSettings/printerSettings9.bin"/><Relationship Id="rId14" Type="http://schemas.openxmlformats.org/officeDocument/2006/relationships/hyperlink" Target="mailto:balocke@xactware.com" TargetMode="External"/><Relationship Id="rId22" Type="http://schemas.openxmlformats.org/officeDocument/2006/relationships/hyperlink" Target="mailto:jdkartchner@xactware.com" TargetMode="External"/><Relationship Id="rId27" Type="http://schemas.openxmlformats.org/officeDocument/2006/relationships/hyperlink" Target="mailto:ndsmith@xactware.com" TargetMode="External"/><Relationship Id="rId30" Type="http://schemas.openxmlformats.org/officeDocument/2006/relationships/hyperlink" Target="mailto:pmlundgren@xactware.com" TargetMode="External"/><Relationship Id="rId35" Type="http://schemas.openxmlformats.org/officeDocument/2006/relationships/hyperlink" Target="mailto:tjmarshall@xactware.com" TargetMode="External"/><Relationship Id="rId43" Type="http://schemas.openxmlformats.org/officeDocument/2006/relationships/ctrlProp" Target="../ctrlProps/ctrlProp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7.bin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Relationship Id="rId5" Type="http://schemas.openxmlformats.org/officeDocument/2006/relationships/comments" Target="../comments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rinterSettings" Target="../printerSettings/printerSettings18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1.bin"/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filterMode="1"/>
  <dimension ref="A1:CD252"/>
  <sheetViews>
    <sheetView tabSelected="1" showRuler="0" zoomScaleNormal="85" workbookViewId="0">
      <pane xSplit="2" topLeftCell="AB1" activePane="topRight" state="frozen"/>
      <selection pane="topRight" activeCell="AT27" sqref="AT27"/>
    </sheetView>
  </sheetViews>
  <sheetFormatPr defaultRowHeight="12.75" x14ac:dyDescent="0.2"/>
  <cols>
    <col min="1" max="1" width="22.140625" customWidth="1"/>
    <col min="2" max="2" width="27.140625" style="229" hidden="1" customWidth="1"/>
    <col min="3" max="4" width="5.28515625" style="6" customWidth="1"/>
    <col min="5" max="5" width="9.28515625" style="3" customWidth="1"/>
    <col min="6" max="6" width="1.140625" style="174" customWidth="1"/>
    <col min="7" max="7" width="8.7109375" style="3" customWidth="1"/>
    <col min="8" max="8" width="0.42578125" style="4" customWidth="1"/>
    <col min="9" max="9" width="8.7109375" style="3" customWidth="1"/>
    <col min="10" max="10" width="1.140625" style="174" customWidth="1"/>
    <col min="11" max="12" width="8.7109375" style="3" customWidth="1"/>
    <col min="13" max="13" width="1.140625" style="174" customWidth="1"/>
    <col min="14" max="15" width="8.7109375" style="3" customWidth="1"/>
    <col min="16" max="16" width="1.140625" style="174" customWidth="1"/>
    <col min="17" max="18" width="8.7109375" style="3" customWidth="1"/>
    <col min="19" max="19" width="1.140625" style="174" customWidth="1"/>
    <col min="20" max="21" width="8.7109375" style="3" customWidth="1"/>
    <col min="22" max="22" width="1.140625" style="174" customWidth="1"/>
    <col min="23" max="24" width="8.7109375" style="3" customWidth="1"/>
    <col min="25" max="25" width="1.140625" style="174" customWidth="1"/>
    <col min="26" max="27" width="8.7109375" style="3" customWidth="1"/>
    <col min="28" max="28" width="1.140625" style="174" customWidth="1"/>
    <col min="29" max="29" width="8.7109375" style="3" customWidth="1"/>
    <col min="30" max="30" width="0.42578125" style="4" customWidth="1"/>
    <col min="31" max="31" width="8.7109375" style="3" customWidth="1"/>
    <col min="32" max="32" width="1.140625" style="174" customWidth="1"/>
    <col min="33" max="34" width="8.7109375" style="3" customWidth="1"/>
    <col min="35" max="35" width="1.140625" style="174" customWidth="1"/>
    <col min="36" max="37" width="8.7109375" style="3" customWidth="1"/>
    <col min="38" max="38" width="1.140625" style="174" customWidth="1"/>
    <col min="39" max="40" width="8.7109375" style="3" customWidth="1"/>
    <col min="41" max="41" width="1.140625" style="174" customWidth="1"/>
    <col min="42" max="43" width="8.7109375" style="3" customWidth="1"/>
    <col min="44" max="44" width="1.140625" style="174" customWidth="1"/>
    <col min="45" max="46" width="8.7109375" style="3" customWidth="1"/>
    <col min="47" max="47" width="1.140625" style="174" customWidth="1"/>
    <col min="48" max="49" width="8.7109375" style="3" customWidth="1"/>
    <col min="50" max="50" width="1.140625" style="174" customWidth="1"/>
    <col min="51" max="51" width="8.7109375" style="3" customWidth="1"/>
    <col min="52" max="52" width="0.42578125" style="3" customWidth="1"/>
    <col min="53" max="53" width="8.7109375" style="3" customWidth="1"/>
    <col min="54" max="54" width="1.140625" style="174" customWidth="1"/>
    <col min="55" max="57" width="8.7109375" style="3" customWidth="1"/>
    <col min="58" max="58" width="7.7109375" style="4" customWidth="1"/>
  </cols>
  <sheetData>
    <row r="1" spans="1:82" s="36" customFormat="1" x14ac:dyDescent="0.2">
      <c r="A1" s="1" t="s">
        <v>10</v>
      </c>
      <c r="B1" s="1" t="s">
        <v>129</v>
      </c>
      <c r="C1" s="35"/>
      <c r="D1" s="35"/>
      <c r="E1" s="221">
        <f>I1-1</f>
        <v>42588</v>
      </c>
      <c r="F1" s="222"/>
      <c r="G1" s="223"/>
      <c r="H1" s="222"/>
      <c r="I1" s="224">
        <v>42589</v>
      </c>
      <c r="J1" s="225"/>
      <c r="K1" s="226"/>
      <c r="L1" s="215">
        <f>I1+1</f>
        <v>42590</v>
      </c>
      <c r="M1" s="216"/>
      <c r="N1" s="217"/>
      <c r="O1" s="215">
        <f>I1+2</f>
        <v>42591</v>
      </c>
      <c r="P1" s="216"/>
      <c r="Q1" s="217"/>
      <c r="R1" s="215">
        <f>I1+3</f>
        <v>42592</v>
      </c>
      <c r="S1" s="216"/>
      <c r="T1" s="217"/>
      <c r="U1" s="215">
        <f>I1+4</f>
        <v>42593</v>
      </c>
      <c r="V1" s="216"/>
      <c r="W1" s="217"/>
      <c r="X1" s="215">
        <f>I1+5</f>
        <v>42594</v>
      </c>
      <c r="Y1" s="216"/>
      <c r="Z1" s="217"/>
      <c r="AA1" s="215">
        <f>I1+6</f>
        <v>42595</v>
      </c>
      <c r="AB1" s="216"/>
      <c r="AC1" s="217"/>
      <c r="AD1" s="216"/>
      <c r="AE1" s="215">
        <f>I1+7</f>
        <v>42596</v>
      </c>
      <c r="AF1" s="216"/>
      <c r="AG1" s="217"/>
      <c r="AH1" s="215">
        <f>I1+8</f>
        <v>42597</v>
      </c>
      <c r="AI1" s="216"/>
      <c r="AJ1" s="217"/>
      <c r="AK1" s="215">
        <f>I1+9</f>
        <v>42598</v>
      </c>
      <c r="AL1" s="216"/>
      <c r="AM1" s="217"/>
      <c r="AN1" s="215">
        <f>I1+10</f>
        <v>42599</v>
      </c>
      <c r="AO1" s="216"/>
      <c r="AP1" s="217"/>
      <c r="AQ1" s="215">
        <f>I1+11</f>
        <v>42600</v>
      </c>
      <c r="AR1" s="216"/>
      <c r="AS1" s="217"/>
      <c r="AT1" s="215">
        <f>I1+12</f>
        <v>42601</v>
      </c>
      <c r="AU1" s="216"/>
      <c r="AV1" s="217"/>
      <c r="AW1" s="215">
        <f>I1+13</f>
        <v>42602</v>
      </c>
      <c r="AX1" s="216"/>
      <c r="AY1" s="217"/>
      <c r="AZ1" s="216"/>
      <c r="BA1" s="215">
        <f>I1+14</f>
        <v>42603</v>
      </c>
      <c r="BB1" s="216"/>
      <c r="BC1" s="217"/>
      <c r="BD1" s="393"/>
      <c r="BE1" s="393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</row>
    <row r="2" spans="1:82" x14ac:dyDescent="0.2">
      <c r="A2" s="34" t="s">
        <v>78</v>
      </c>
      <c r="B2" s="232" t="s">
        <v>130</v>
      </c>
      <c r="C2" s="6">
        <v>2016</v>
      </c>
      <c r="E2" s="212" t="s">
        <v>9</v>
      </c>
      <c r="F2" s="213"/>
      <c r="G2" s="214"/>
      <c r="H2" s="213"/>
      <c r="I2" s="212" t="s">
        <v>6</v>
      </c>
      <c r="J2" s="213"/>
      <c r="K2" s="214"/>
      <c r="L2" s="218" t="s">
        <v>2</v>
      </c>
      <c r="M2" s="219"/>
      <c r="N2" s="220"/>
      <c r="O2" s="218" t="s">
        <v>3</v>
      </c>
      <c r="P2" s="219"/>
      <c r="Q2" s="220"/>
      <c r="R2" s="218" t="s">
        <v>11</v>
      </c>
      <c r="S2" s="219"/>
      <c r="T2" s="220"/>
      <c r="U2" s="218" t="s">
        <v>4</v>
      </c>
      <c r="V2" s="219"/>
      <c r="W2" s="220"/>
      <c r="X2" s="218" t="s">
        <v>5</v>
      </c>
      <c r="Y2" s="219"/>
      <c r="Z2" s="220"/>
      <c r="AA2" s="218" t="s">
        <v>9</v>
      </c>
      <c r="AB2" s="219"/>
      <c r="AC2" s="220"/>
      <c r="AD2" s="219"/>
      <c r="AE2" s="218" t="s">
        <v>6</v>
      </c>
      <c r="AF2" s="219"/>
      <c r="AG2" s="220"/>
      <c r="AH2" s="218" t="s">
        <v>2</v>
      </c>
      <c r="AI2" s="219"/>
      <c r="AJ2" s="220"/>
      <c r="AK2" s="218" t="s">
        <v>3</v>
      </c>
      <c r="AL2" s="219"/>
      <c r="AM2" s="220"/>
      <c r="AN2" s="218" t="s">
        <v>11</v>
      </c>
      <c r="AO2" s="219"/>
      <c r="AP2" s="220"/>
      <c r="AQ2" s="218" t="s">
        <v>4</v>
      </c>
      <c r="AR2" s="219"/>
      <c r="AS2" s="220"/>
      <c r="AT2" s="218" t="s">
        <v>5</v>
      </c>
      <c r="AU2" s="219"/>
      <c r="AV2" s="220"/>
      <c r="AW2" s="218" t="s">
        <v>9</v>
      </c>
      <c r="AX2" s="219"/>
      <c r="AY2" s="220"/>
      <c r="AZ2" s="219"/>
      <c r="BA2" s="218" t="s">
        <v>6</v>
      </c>
      <c r="BB2" s="219"/>
      <c r="BC2" s="220"/>
      <c r="BD2" s="393"/>
      <c r="BE2" s="393"/>
      <c r="BF2"/>
    </row>
    <row r="3" spans="1:82" x14ac:dyDescent="0.2">
      <c r="A3" s="118" t="s">
        <v>96</v>
      </c>
      <c r="B3" s="233" t="s">
        <v>130</v>
      </c>
      <c r="C3" s="119" t="s">
        <v>33</v>
      </c>
      <c r="D3" s="119" t="s">
        <v>32</v>
      </c>
      <c r="E3" s="122" t="s">
        <v>14</v>
      </c>
      <c r="F3" s="163"/>
      <c r="G3" s="121" t="s">
        <v>15</v>
      </c>
      <c r="H3" s="120"/>
      <c r="I3" s="122" t="s">
        <v>14</v>
      </c>
      <c r="J3" s="163"/>
      <c r="K3" s="121" t="s">
        <v>15</v>
      </c>
      <c r="L3" s="120" t="s">
        <v>14</v>
      </c>
      <c r="M3" s="163"/>
      <c r="N3" s="121" t="s">
        <v>15</v>
      </c>
      <c r="O3" s="122" t="s">
        <v>14</v>
      </c>
      <c r="P3" s="163"/>
      <c r="Q3" s="121" t="s">
        <v>15</v>
      </c>
      <c r="R3" s="122" t="s">
        <v>14</v>
      </c>
      <c r="S3" s="163"/>
      <c r="T3" s="121" t="s">
        <v>15</v>
      </c>
      <c r="U3" s="122" t="s">
        <v>14</v>
      </c>
      <c r="V3" s="163"/>
      <c r="W3" s="121" t="s">
        <v>15</v>
      </c>
      <c r="X3" s="122" t="s">
        <v>14</v>
      </c>
      <c r="Y3" s="163"/>
      <c r="Z3" s="121" t="s">
        <v>15</v>
      </c>
      <c r="AA3" s="122" t="s">
        <v>14</v>
      </c>
      <c r="AB3" s="163"/>
      <c r="AC3" s="121" t="s">
        <v>15</v>
      </c>
      <c r="AD3" s="120"/>
      <c r="AE3" s="122" t="s">
        <v>14</v>
      </c>
      <c r="AF3" s="163"/>
      <c r="AG3" s="121" t="s">
        <v>15</v>
      </c>
      <c r="AH3" s="122" t="s">
        <v>14</v>
      </c>
      <c r="AI3" s="163"/>
      <c r="AJ3" s="121" t="s">
        <v>15</v>
      </c>
      <c r="AK3" s="122" t="s">
        <v>14</v>
      </c>
      <c r="AL3" s="163"/>
      <c r="AM3" s="121" t="s">
        <v>15</v>
      </c>
      <c r="AN3" s="122" t="s">
        <v>14</v>
      </c>
      <c r="AO3" s="163"/>
      <c r="AP3" s="121" t="s">
        <v>15</v>
      </c>
      <c r="AQ3" s="122" t="s">
        <v>14</v>
      </c>
      <c r="AR3" s="163"/>
      <c r="AS3" s="121" t="s">
        <v>15</v>
      </c>
      <c r="AT3" s="122" t="s">
        <v>14</v>
      </c>
      <c r="AU3" s="163"/>
      <c r="AV3" s="121" t="s">
        <v>15</v>
      </c>
      <c r="AW3" s="122" t="s">
        <v>14</v>
      </c>
      <c r="AX3" s="163"/>
      <c r="AY3" s="121" t="s">
        <v>15</v>
      </c>
      <c r="AZ3" s="120"/>
      <c r="BA3" s="122" t="s">
        <v>14</v>
      </c>
      <c r="BB3" s="163"/>
      <c r="BC3" s="121" t="s">
        <v>15</v>
      </c>
      <c r="BD3"/>
      <c r="BE3"/>
      <c r="BF3"/>
    </row>
    <row r="4" spans="1:82" s="2" customFormat="1" x14ac:dyDescent="0.2">
      <c r="A4" s="117" t="s">
        <v>246</v>
      </c>
      <c r="B4" s="230" t="s">
        <v>247</v>
      </c>
      <c r="C4" s="8" t="s">
        <v>220</v>
      </c>
      <c r="D4" s="8" t="s">
        <v>39</v>
      </c>
      <c r="E4" s="153"/>
      <c r="F4" s="166"/>
      <c r="G4" s="154"/>
      <c r="H4" s="11"/>
      <c r="I4" s="12"/>
      <c r="J4" s="164"/>
      <c r="K4" s="13"/>
      <c r="L4" s="153">
        <v>0.29166666666666669</v>
      </c>
      <c r="M4" s="166"/>
      <c r="N4" s="154">
        <v>0.66666666666666663</v>
      </c>
      <c r="O4" s="153">
        <v>0.29166666666666669</v>
      </c>
      <c r="P4" s="166"/>
      <c r="Q4" s="154">
        <v>0.66666666666666663</v>
      </c>
      <c r="R4" s="153">
        <v>0.29166666666666669</v>
      </c>
      <c r="S4" s="166"/>
      <c r="T4" s="154">
        <v>0.66666666666666663</v>
      </c>
      <c r="U4" s="153">
        <v>0.29166666666666669</v>
      </c>
      <c r="V4" s="166"/>
      <c r="W4" s="154">
        <v>0.66666666666666663</v>
      </c>
      <c r="X4" s="153">
        <v>0.29166666666666669</v>
      </c>
      <c r="Y4" s="166"/>
      <c r="Z4" s="154">
        <v>0.66666666666666663</v>
      </c>
      <c r="AA4" s="153"/>
      <c r="AB4" s="166"/>
      <c r="AC4" s="154"/>
      <c r="AD4" s="11"/>
      <c r="AE4" s="134">
        <v>0.25</v>
      </c>
      <c r="AF4" s="168" t="s">
        <v>244</v>
      </c>
      <c r="AG4" s="352">
        <v>0.58333333333333337</v>
      </c>
      <c r="AH4" s="153">
        <v>0.29166666666666669</v>
      </c>
      <c r="AI4" s="166"/>
      <c r="AJ4" s="154">
        <v>0.66666666666666663</v>
      </c>
      <c r="AK4" s="41" t="s">
        <v>82</v>
      </c>
      <c r="AL4" s="177"/>
      <c r="AM4" s="42"/>
      <c r="AN4" s="153">
        <v>0.29166666666666669</v>
      </c>
      <c r="AO4" s="166"/>
      <c r="AP4" s="154">
        <v>0.66666666666666663</v>
      </c>
      <c r="AQ4" s="153">
        <v>0.29166666666666669</v>
      </c>
      <c r="AR4" s="166"/>
      <c r="AS4" s="154">
        <v>0.66666666666666663</v>
      </c>
      <c r="AT4" s="153">
        <v>0.29166666666666669</v>
      </c>
      <c r="AU4" s="166"/>
      <c r="AV4" s="154">
        <v>0.66666666666666663</v>
      </c>
      <c r="AW4" s="153"/>
      <c r="AX4" s="166"/>
      <c r="AY4" s="154"/>
      <c r="AZ4" s="11"/>
      <c r="BA4" s="12"/>
      <c r="BB4" s="164"/>
      <c r="BC4" s="13"/>
      <c r="BD4" s="144"/>
      <c r="BE4" s="144"/>
      <c r="BF4" s="144"/>
      <c r="BG4" s="144"/>
      <c r="BH4" s="144"/>
      <c r="BI4" s="144"/>
      <c r="BJ4" s="144"/>
      <c r="BK4" s="14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</row>
    <row r="5" spans="1:82" s="2" customFormat="1" x14ac:dyDescent="0.2">
      <c r="A5" s="117" t="s">
        <v>288</v>
      </c>
      <c r="B5" s="230" t="s">
        <v>289</v>
      </c>
      <c r="C5" s="8" t="s">
        <v>291</v>
      </c>
      <c r="D5" s="8" t="s">
        <v>158</v>
      </c>
      <c r="E5" s="383"/>
      <c r="F5" s="383"/>
      <c r="G5" s="384"/>
      <c r="H5" s="11"/>
      <c r="I5" s="385"/>
      <c r="J5" s="386"/>
      <c r="K5" s="387"/>
      <c r="L5" s="385"/>
      <c r="M5" s="386"/>
      <c r="N5" s="387"/>
      <c r="O5" s="385"/>
      <c r="P5" s="386"/>
      <c r="Q5" s="387"/>
      <c r="R5" s="385"/>
      <c r="S5" s="386"/>
      <c r="T5" s="387"/>
      <c r="U5" s="385"/>
      <c r="V5" s="386"/>
      <c r="W5" s="387"/>
      <c r="X5" s="385"/>
      <c r="Y5" s="386"/>
      <c r="Z5" s="387"/>
      <c r="AA5" s="385"/>
      <c r="AB5" s="386"/>
      <c r="AC5" s="387"/>
      <c r="AD5" s="11"/>
      <c r="AE5" s="385"/>
      <c r="AF5" s="386"/>
      <c r="AG5" s="387"/>
      <c r="AH5" s="153" t="s">
        <v>286</v>
      </c>
      <c r="AI5" s="166"/>
      <c r="AJ5" s="154"/>
      <c r="AK5" s="367" t="s">
        <v>286</v>
      </c>
      <c r="AL5" s="368"/>
      <c r="AM5" s="369"/>
      <c r="AN5" s="153" t="s">
        <v>286</v>
      </c>
      <c r="AO5" s="166"/>
      <c r="AP5" s="154"/>
      <c r="AQ5" s="153" t="s">
        <v>286</v>
      </c>
      <c r="AR5" s="166"/>
      <c r="AS5" s="154"/>
      <c r="AT5" s="153" t="s">
        <v>286</v>
      </c>
      <c r="AU5" s="166"/>
      <c r="AV5" s="154"/>
      <c r="AW5" s="153"/>
      <c r="AX5" s="166"/>
      <c r="AY5" s="154"/>
      <c r="AZ5" s="11"/>
      <c r="BA5" s="12"/>
      <c r="BB5" s="164"/>
      <c r="BC5" s="13"/>
      <c r="BD5" s="371"/>
      <c r="BE5" s="371"/>
      <c r="BF5" s="371"/>
      <c r="BG5" s="371"/>
      <c r="BH5" s="371"/>
      <c r="BI5" s="371"/>
      <c r="BJ5" s="371"/>
      <c r="BK5" s="371"/>
      <c r="BL5" s="371"/>
      <c r="BM5" s="371"/>
      <c r="BN5" s="371"/>
      <c r="BO5" s="371"/>
      <c r="BP5" s="371"/>
      <c r="BQ5" s="371"/>
      <c r="BR5" s="371"/>
      <c r="BS5" s="371"/>
      <c r="BT5" s="371"/>
      <c r="BU5" s="371"/>
      <c r="BV5" s="371"/>
      <c r="BW5" s="371"/>
      <c r="BX5" s="371"/>
      <c r="BY5" s="371"/>
      <c r="BZ5" s="371"/>
      <c r="CA5" s="371"/>
      <c r="CB5" s="371"/>
      <c r="CC5" s="371"/>
      <c r="CD5" s="371"/>
    </row>
    <row r="6" spans="1:82" s="2" customFormat="1" x14ac:dyDescent="0.2">
      <c r="A6" s="7" t="s">
        <v>91</v>
      </c>
      <c r="B6" s="230" t="s">
        <v>168</v>
      </c>
      <c r="C6" s="8" t="s">
        <v>160</v>
      </c>
      <c r="D6" s="8" t="s">
        <v>30</v>
      </c>
      <c r="E6" s="152"/>
      <c r="F6" s="165"/>
      <c r="G6" s="151"/>
      <c r="H6" s="147"/>
      <c r="I6" s="152"/>
      <c r="J6" s="165"/>
      <c r="K6" s="151"/>
      <c r="L6" s="153">
        <v>0.45833333333333331</v>
      </c>
      <c r="M6" s="166"/>
      <c r="N6" s="154">
        <v>0.83333333333333337</v>
      </c>
      <c r="O6" s="153">
        <v>0.45833333333333331</v>
      </c>
      <c r="P6" s="166"/>
      <c r="Q6" s="154">
        <v>0.83333333333333337</v>
      </c>
      <c r="R6" s="153">
        <v>0.45833333333333331</v>
      </c>
      <c r="S6" s="166"/>
      <c r="T6" s="154">
        <v>0.83333333333333337</v>
      </c>
      <c r="U6" s="17">
        <v>0.29166666666666669</v>
      </c>
      <c r="V6" s="169"/>
      <c r="W6" s="155">
        <v>0.66666666666666663</v>
      </c>
      <c r="X6" s="366" t="s">
        <v>7</v>
      </c>
      <c r="Y6" s="364"/>
      <c r="Z6" s="365"/>
      <c r="AA6" s="152"/>
      <c r="AB6" s="165"/>
      <c r="AC6" s="151"/>
      <c r="AD6" s="147"/>
      <c r="AE6" s="152"/>
      <c r="AF6" s="165"/>
      <c r="AG6" s="151"/>
      <c r="AH6" s="366" t="s">
        <v>7</v>
      </c>
      <c r="AI6" s="364"/>
      <c r="AJ6" s="365"/>
      <c r="AK6" s="366" t="s">
        <v>7</v>
      </c>
      <c r="AL6" s="364"/>
      <c r="AM6" s="365"/>
      <c r="AN6" s="153">
        <v>0.45833333333333331</v>
      </c>
      <c r="AO6" s="166"/>
      <c r="AP6" s="154">
        <v>0.83333333333333337</v>
      </c>
      <c r="AQ6" s="153">
        <v>0.45833333333333331</v>
      </c>
      <c r="AR6" s="166"/>
      <c r="AS6" s="154">
        <v>0.83333333333333337</v>
      </c>
      <c r="AT6" s="153">
        <v>0.45833333333333331</v>
      </c>
      <c r="AU6" s="166"/>
      <c r="AV6" s="154">
        <v>0.83333333333333337</v>
      </c>
      <c r="AW6" s="152"/>
      <c r="AX6" s="165"/>
      <c r="AY6" s="151"/>
      <c r="AZ6" s="147"/>
      <c r="BA6" s="152"/>
      <c r="BB6" s="165"/>
      <c r="BC6" s="151"/>
      <c r="BD6" s="330"/>
      <c r="BE6" s="330"/>
      <c r="BF6" s="330"/>
      <c r="BG6" s="330"/>
      <c r="BH6" s="330"/>
      <c r="BI6" s="330"/>
      <c r="BJ6" s="330"/>
      <c r="BK6" s="330"/>
      <c r="BL6" s="330"/>
      <c r="BM6" s="330"/>
      <c r="BN6" s="330"/>
      <c r="BO6" s="330"/>
      <c r="BP6" s="330"/>
      <c r="BQ6" s="330"/>
      <c r="BR6" s="330"/>
      <c r="BS6" s="330"/>
      <c r="BT6" s="330"/>
      <c r="BU6" s="330"/>
      <c r="BV6" s="330"/>
      <c r="BW6" s="330"/>
      <c r="BX6" s="330"/>
      <c r="BY6" s="330"/>
      <c r="BZ6" s="330"/>
      <c r="CA6" s="330"/>
      <c r="CB6" s="330"/>
      <c r="CC6" s="330"/>
      <c r="CD6" s="330"/>
    </row>
    <row r="7" spans="1:82" s="2" customFormat="1" x14ac:dyDescent="0.2">
      <c r="A7" s="7" t="s">
        <v>283</v>
      </c>
      <c r="B7" s="230" t="s">
        <v>284</v>
      </c>
      <c r="C7" s="8" t="s">
        <v>158</v>
      </c>
      <c r="D7" s="8" t="s">
        <v>39</v>
      </c>
      <c r="E7" s="152"/>
      <c r="F7" s="165"/>
      <c r="G7" s="151"/>
      <c r="H7" s="11"/>
      <c r="I7" s="275"/>
      <c r="J7" s="276"/>
      <c r="K7" s="277"/>
      <c r="L7" s="147" t="s">
        <v>278</v>
      </c>
      <c r="M7" s="166"/>
      <c r="N7" s="154" t="s">
        <v>158</v>
      </c>
      <c r="O7" s="147" t="s">
        <v>278</v>
      </c>
      <c r="P7" s="166"/>
      <c r="Q7" s="154" t="s">
        <v>158</v>
      </c>
      <c r="R7" s="147" t="s">
        <v>278</v>
      </c>
      <c r="S7" s="166"/>
      <c r="T7" s="154" t="s">
        <v>158</v>
      </c>
      <c r="U7" s="147" t="s">
        <v>278</v>
      </c>
      <c r="V7" s="166"/>
      <c r="W7" s="154" t="s">
        <v>158</v>
      </c>
      <c r="X7" s="147" t="s">
        <v>278</v>
      </c>
      <c r="Y7" s="166"/>
      <c r="Z7" s="154" t="s">
        <v>158</v>
      </c>
      <c r="AA7" s="152"/>
      <c r="AB7" s="165"/>
      <c r="AC7" s="151"/>
      <c r="AD7" s="11"/>
      <c r="AE7" s="275"/>
      <c r="AF7" s="276"/>
      <c r="AG7" s="277"/>
      <c r="AH7" s="147" t="s">
        <v>278</v>
      </c>
      <c r="AI7" s="166"/>
      <c r="AJ7" s="154" t="s">
        <v>158</v>
      </c>
      <c r="AK7" s="147" t="s">
        <v>278</v>
      </c>
      <c r="AL7" s="166"/>
      <c r="AM7" s="154" t="s">
        <v>158</v>
      </c>
      <c r="AN7" s="147" t="s">
        <v>278</v>
      </c>
      <c r="AO7" s="166"/>
      <c r="AP7" s="154" t="s">
        <v>158</v>
      </c>
      <c r="AQ7" s="153" t="s">
        <v>285</v>
      </c>
      <c r="AR7" s="166"/>
      <c r="AS7" s="154"/>
      <c r="AT7" s="153" t="s">
        <v>285</v>
      </c>
      <c r="AU7" s="166"/>
      <c r="AV7" s="154"/>
      <c r="AW7" s="152"/>
      <c r="AX7" s="165"/>
      <c r="AY7" s="151"/>
      <c r="AZ7" s="11"/>
      <c r="BA7" s="152"/>
      <c r="BB7" s="165"/>
      <c r="BC7" s="151"/>
      <c r="BD7" s="363"/>
      <c r="BE7" s="363"/>
      <c r="BF7" s="363"/>
      <c r="BG7" s="363"/>
      <c r="BH7" s="363"/>
      <c r="BI7" s="363"/>
      <c r="BJ7" s="363"/>
      <c r="BK7" s="363"/>
      <c r="BL7" s="363"/>
      <c r="BM7" s="363"/>
      <c r="BN7" s="363"/>
      <c r="BO7" s="363"/>
      <c r="BP7" s="363"/>
      <c r="BQ7" s="363"/>
      <c r="BR7" s="363"/>
      <c r="BS7" s="363"/>
      <c r="BT7" s="363"/>
      <c r="BU7" s="363"/>
      <c r="BV7" s="363"/>
      <c r="BW7" s="363"/>
      <c r="BX7" s="363"/>
      <c r="BY7" s="363"/>
      <c r="BZ7" s="363"/>
      <c r="CA7" s="363"/>
      <c r="CB7" s="363"/>
      <c r="CC7" s="363"/>
      <c r="CD7" s="363"/>
    </row>
    <row r="8" spans="1:82" s="2" customFormat="1" x14ac:dyDescent="0.2">
      <c r="A8" s="117" t="s">
        <v>159</v>
      </c>
      <c r="B8" s="230" t="s">
        <v>169</v>
      </c>
      <c r="C8" s="8" t="s">
        <v>210</v>
      </c>
      <c r="D8" s="8" t="s">
        <v>31</v>
      </c>
      <c r="E8" s="153"/>
      <c r="F8" s="166"/>
      <c r="G8" s="154"/>
      <c r="H8" s="11"/>
      <c r="I8" s="12"/>
      <c r="J8" s="164"/>
      <c r="K8" s="13"/>
      <c r="L8" s="153">
        <v>0.375</v>
      </c>
      <c r="M8" s="166"/>
      <c r="N8" s="154">
        <v>0.75</v>
      </c>
      <c r="O8" s="41" t="s">
        <v>82</v>
      </c>
      <c r="P8" s="177"/>
      <c r="Q8" s="42"/>
      <c r="R8" s="153">
        <v>0.375</v>
      </c>
      <c r="S8" s="166"/>
      <c r="T8" s="154">
        <v>0.75</v>
      </c>
      <c r="U8" s="153">
        <v>0.375</v>
      </c>
      <c r="V8" s="166"/>
      <c r="W8" s="154">
        <v>0.75</v>
      </c>
      <c r="X8" s="153">
        <v>0.375</v>
      </c>
      <c r="Y8" s="166"/>
      <c r="Z8" s="154">
        <v>0.75</v>
      </c>
      <c r="AA8" s="134">
        <v>0.25</v>
      </c>
      <c r="AB8" s="168" t="s">
        <v>244</v>
      </c>
      <c r="AC8" s="352">
        <v>0.58333333333333337</v>
      </c>
      <c r="AD8" s="11"/>
      <c r="AE8" s="12"/>
      <c r="AF8" s="164"/>
      <c r="AG8" s="13"/>
      <c r="AH8" s="153">
        <v>0.375</v>
      </c>
      <c r="AI8" s="166"/>
      <c r="AJ8" s="154">
        <v>0.75</v>
      </c>
      <c r="AK8" s="153">
        <v>0.375</v>
      </c>
      <c r="AL8" s="166"/>
      <c r="AM8" s="154">
        <v>0.75</v>
      </c>
      <c r="AN8" s="153">
        <v>0.375</v>
      </c>
      <c r="AO8" s="166"/>
      <c r="AP8" s="154">
        <v>0.75</v>
      </c>
      <c r="AQ8" s="153">
        <v>0.375</v>
      </c>
      <c r="AR8" s="166"/>
      <c r="AS8" s="154">
        <v>0.75</v>
      </c>
      <c r="AT8" s="153">
        <v>0.375</v>
      </c>
      <c r="AU8" s="166"/>
      <c r="AV8" s="154">
        <v>0.75</v>
      </c>
      <c r="AW8" s="153"/>
      <c r="AX8" s="166"/>
      <c r="AY8" s="154"/>
      <c r="AZ8" s="11"/>
      <c r="BA8" s="134">
        <v>0.25</v>
      </c>
      <c r="BB8" s="168" t="s">
        <v>244</v>
      </c>
      <c r="BC8" s="352">
        <v>0.58333333333333337</v>
      </c>
      <c r="BD8" s="292"/>
      <c r="BE8" s="292"/>
      <c r="BF8" s="292"/>
      <c r="BG8" s="292"/>
      <c r="BH8" s="292"/>
      <c r="BI8" s="292"/>
      <c r="BJ8" s="292"/>
      <c r="BK8" s="292"/>
      <c r="BL8" s="292"/>
      <c r="BM8" s="292"/>
      <c r="BN8" s="292"/>
      <c r="BO8" s="292"/>
      <c r="BP8" s="292"/>
      <c r="BQ8" s="292"/>
      <c r="BR8" s="292"/>
      <c r="BS8" s="292"/>
      <c r="BT8" s="292"/>
      <c r="BU8" s="292"/>
      <c r="BV8" s="292"/>
      <c r="BW8" s="292"/>
      <c r="BX8" s="292"/>
      <c r="BY8" s="292"/>
      <c r="BZ8" s="292"/>
      <c r="CA8" s="292"/>
      <c r="CB8" s="292"/>
      <c r="CC8" s="292"/>
      <c r="CD8" s="292"/>
    </row>
    <row r="9" spans="1:82" s="2" customFormat="1" ht="13.5" thickBot="1" x14ac:dyDescent="0.25">
      <c r="A9" s="117" t="s">
        <v>240</v>
      </c>
      <c r="B9" s="230" t="s">
        <v>241</v>
      </c>
      <c r="C9" s="8" t="s">
        <v>220</v>
      </c>
      <c r="D9" s="8" t="s">
        <v>39</v>
      </c>
      <c r="E9" s="153"/>
      <c r="F9" s="166"/>
      <c r="G9" s="154"/>
      <c r="H9" s="11"/>
      <c r="I9" s="153"/>
      <c r="J9" s="164"/>
      <c r="K9" s="13"/>
      <c r="L9" s="153">
        <v>0.29166666666666669</v>
      </c>
      <c r="M9" s="166"/>
      <c r="N9" s="154">
        <v>0.66666666666666663</v>
      </c>
      <c r="O9" s="153">
        <v>0.29166666666666669</v>
      </c>
      <c r="P9" s="166"/>
      <c r="Q9" s="154">
        <v>0.66666666666666663</v>
      </c>
      <c r="R9" s="153">
        <v>0.29166666666666669</v>
      </c>
      <c r="S9" s="166"/>
      <c r="T9" s="154">
        <v>0.66666666666666663</v>
      </c>
      <c r="U9" s="153">
        <v>0.29166666666666669</v>
      </c>
      <c r="V9" s="166"/>
      <c r="W9" s="154">
        <v>0.66666666666666663</v>
      </c>
      <c r="X9" s="153">
        <v>0.29166666666666669</v>
      </c>
      <c r="Y9" s="166"/>
      <c r="Z9" s="154">
        <v>0.66666666666666663</v>
      </c>
      <c r="AA9" s="134">
        <v>0.25</v>
      </c>
      <c r="AB9" s="168" t="s">
        <v>244</v>
      </c>
      <c r="AC9" s="352">
        <v>0.58333333333333337</v>
      </c>
      <c r="AD9" s="11"/>
      <c r="AE9" s="153"/>
      <c r="AF9" s="164"/>
      <c r="AG9" s="13"/>
      <c r="AH9" s="41" t="s">
        <v>82</v>
      </c>
      <c r="AI9" s="177"/>
      <c r="AJ9" s="42"/>
      <c r="AK9" s="153">
        <v>0.29166666666666669</v>
      </c>
      <c r="AL9" s="166"/>
      <c r="AM9" s="154">
        <v>0.66666666666666663</v>
      </c>
      <c r="AN9" s="153">
        <v>0.29166666666666669</v>
      </c>
      <c r="AO9" s="166"/>
      <c r="AP9" s="154">
        <v>0.66666666666666663</v>
      </c>
      <c r="AQ9" s="153">
        <v>0.29166666666666669</v>
      </c>
      <c r="AR9" s="166"/>
      <c r="AS9" s="154">
        <v>0.66666666666666663</v>
      </c>
      <c r="AT9" s="153">
        <v>0.29166666666666669</v>
      </c>
      <c r="AU9" s="166"/>
      <c r="AV9" s="154">
        <v>0.66666666666666663</v>
      </c>
      <c r="AW9" s="153"/>
      <c r="AX9" s="166"/>
      <c r="AY9" s="154"/>
      <c r="AZ9" s="11"/>
      <c r="BA9" s="153"/>
      <c r="BB9" s="164"/>
      <c r="BC9" s="13"/>
      <c r="BD9" s="324"/>
      <c r="BE9" s="324"/>
      <c r="BF9" s="324"/>
      <c r="BG9" s="324"/>
      <c r="BH9" s="324"/>
      <c r="BI9" s="324"/>
      <c r="BJ9" s="324"/>
      <c r="BK9" s="324"/>
      <c r="BL9" s="324"/>
      <c r="BM9" s="324"/>
      <c r="BN9" s="324"/>
      <c r="BO9" s="324"/>
      <c r="BP9" s="324"/>
      <c r="BQ9" s="324"/>
      <c r="BR9" s="324"/>
      <c r="BS9" s="324"/>
      <c r="BT9" s="324"/>
      <c r="BU9" s="324"/>
      <c r="BV9" s="324"/>
      <c r="BW9" s="324"/>
      <c r="BX9" s="324"/>
      <c r="BY9" s="324"/>
      <c r="BZ9" s="324"/>
      <c r="CA9" s="324"/>
      <c r="CB9" s="324"/>
      <c r="CC9" s="324"/>
      <c r="CD9" s="324"/>
    </row>
    <row r="10" spans="1:82" s="5" customFormat="1" ht="13.5" thickBot="1" x14ac:dyDescent="0.25">
      <c r="A10" s="14" t="s">
        <v>27</v>
      </c>
      <c r="B10" s="231" t="s">
        <v>221</v>
      </c>
      <c r="C10" s="150" t="s">
        <v>72</v>
      </c>
      <c r="D10" s="150" t="s">
        <v>30</v>
      </c>
      <c r="E10" s="152"/>
      <c r="F10" s="165"/>
      <c r="G10" s="151"/>
      <c r="H10" s="147"/>
      <c r="I10" s="275"/>
      <c r="J10" s="276"/>
      <c r="K10" s="277"/>
      <c r="L10" s="153">
        <v>0.29166666666666669</v>
      </c>
      <c r="M10" s="166"/>
      <c r="N10" s="154">
        <v>0.66666666666666663</v>
      </c>
      <c r="O10" s="389">
        <v>0.29166666666666669</v>
      </c>
      <c r="P10" s="166"/>
      <c r="Q10" s="154">
        <v>0.66666666666666663</v>
      </c>
      <c r="R10" s="153">
        <v>0.29166666666666669</v>
      </c>
      <c r="S10" s="166"/>
      <c r="T10" s="154">
        <v>0.66666666666666663</v>
      </c>
      <c r="U10" s="153">
        <v>0.45833333333333331</v>
      </c>
      <c r="V10" s="166"/>
      <c r="W10" s="154">
        <v>0.83333333333333337</v>
      </c>
      <c r="X10" s="389">
        <v>0.45833333333333331</v>
      </c>
      <c r="Y10" s="166"/>
      <c r="Z10" s="154">
        <v>0.83333333333333337</v>
      </c>
      <c r="AA10" s="152"/>
      <c r="AB10" s="165"/>
      <c r="AC10" s="151"/>
      <c r="AD10" s="147"/>
      <c r="AE10" s="275"/>
      <c r="AF10" s="276"/>
      <c r="AG10" s="151"/>
      <c r="AH10" s="373">
        <v>0.29166666666666669</v>
      </c>
      <c r="AI10" s="166"/>
      <c r="AJ10" s="154">
        <v>0.66666666666666663</v>
      </c>
      <c r="AK10" s="147">
        <v>0.29166666666666669</v>
      </c>
      <c r="AL10" s="166"/>
      <c r="AM10" s="154">
        <v>0.66666666666666663</v>
      </c>
      <c r="AN10" s="153">
        <v>0.29166666666666669</v>
      </c>
      <c r="AO10" s="166"/>
      <c r="AP10" s="154">
        <v>0.66666666666666663</v>
      </c>
      <c r="AQ10" s="153">
        <v>0.29166666666666669</v>
      </c>
      <c r="AR10" s="166"/>
      <c r="AS10" s="154">
        <v>0.66666666666666663</v>
      </c>
      <c r="AT10" s="153">
        <v>0.29166666666666669</v>
      </c>
      <c r="AU10" s="166"/>
      <c r="AV10" s="154">
        <v>0.66666666666666663</v>
      </c>
      <c r="AW10" s="152"/>
      <c r="AX10" s="165"/>
      <c r="AY10" s="151"/>
      <c r="AZ10" s="147"/>
      <c r="BA10" s="275"/>
      <c r="BB10" s="276"/>
      <c r="BC10" s="277"/>
      <c r="BD10" s="40"/>
      <c r="BE10" s="40"/>
      <c r="BF10" s="40"/>
      <c r="BG10" s="40"/>
      <c r="BH10" s="40"/>
      <c r="BI10" s="40"/>
      <c r="BJ10" s="40"/>
      <c r="BK10" s="40"/>
      <c r="BL10" s="315"/>
      <c r="BM10" s="315"/>
      <c r="BN10" s="315"/>
      <c r="BO10" s="315"/>
      <c r="BP10" s="315"/>
      <c r="BQ10" s="315"/>
      <c r="BR10" s="315"/>
      <c r="BS10" s="315"/>
      <c r="BT10" s="315"/>
      <c r="BU10" s="315"/>
      <c r="BV10" s="315"/>
      <c r="BW10" s="315"/>
      <c r="BX10" s="315"/>
      <c r="BY10" s="315"/>
      <c r="BZ10" s="315"/>
      <c r="CA10" s="315"/>
      <c r="CB10" s="315"/>
      <c r="CC10" s="315"/>
      <c r="CD10" s="315"/>
    </row>
    <row r="11" spans="1:82" s="2" customFormat="1" x14ac:dyDescent="0.2">
      <c r="A11" s="7" t="s">
        <v>281</v>
      </c>
      <c r="B11" s="230" t="s">
        <v>282</v>
      </c>
      <c r="C11" s="8" t="s">
        <v>118</v>
      </c>
      <c r="D11" s="8" t="s">
        <v>158</v>
      </c>
      <c r="E11" s="152"/>
      <c r="F11" s="165"/>
      <c r="G11" s="151"/>
      <c r="H11" s="11"/>
      <c r="I11" s="275"/>
      <c r="J11" s="276"/>
      <c r="K11" s="277"/>
      <c r="L11" s="147" t="s">
        <v>278</v>
      </c>
      <c r="M11" s="166"/>
      <c r="N11" s="154" t="s">
        <v>158</v>
      </c>
      <c r="O11" s="147" t="s">
        <v>278</v>
      </c>
      <c r="P11" s="166"/>
      <c r="Q11" s="154" t="s">
        <v>158</v>
      </c>
      <c r="R11" s="147" t="s">
        <v>278</v>
      </c>
      <c r="S11" s="166"/>
      <c r="T11" s="154" t="s">
        <v>158</v>
      </c>
      <c r="U11" s="147" t="s">
        <v>278</v>
      </c>
      <c r="V11" s="166"/>
      <c r="W11" s="154" t="s">
        <v>158</v>
      </c>
      <c r="X11" s="147" t="s">
        <v>278</v>
      </c>
      <c r="Y11" s="166"/>
      <c r="Z11" s="154" t="s">
        <v>158</v>
      </c>
      <c r="AA11" s="152"/>
      <c r="AB11" s="165"/>
      <c r="AC11" s="151"/>
      <c r="AD11" s="11"/>
      <c r="AE11" s="275"/>
      <c r="AF11" s="276"/>
      <c r="AG11" s="151"/>
      <c r="AH11" s="147" t="s">
        <v>278</v>
      </c>
      <c r="AI11" s="166"/>
      <c r="AJ11" s="154" t="s">
        <v>158</v>
      </c>
      <c r="AK11" s="147" t="s">
        <v>278</v>
      </c>
      <c r="AL11" s="166"/>
      <c r="AM11" s="154" t="s">
        <v>158</v>
      </c>
      <c r="AN11" s="147" t="s">
        <v>278</v>
      </c>
      <c r="AO11" s="166"/>
      <c r="AP11" s="154" t="s">
        <v>158</v>
      </c>
      <c r="AQ11" s="153" t="s">
        <v>285</v>
      </c>
      <c r="AR11" s="166"/>
      <c r="AS11" s="154"/>
      <c r="AT11" s="153" t="s">
        <v>285</v>
      </c>
      <c r="AU11" s="166"/>
      <c r="AV11" s="154"/>
      <c r="AW11" s="152"/>
      <c r="AX11" s="165"/>
      <c r="AY11" s="151"/>
      <c r="AZ11" s="11"/>
      <c r="BA11" s="275"/>
      <c r="BB11" s="276"/>
      <c r="BC11" s="277"/>
      <c r="BD11" s="40"/>
      <c r="BE11" s="40"/>
      <c r="BF11" s="40"/>
      <c r="BG11" s="40"/>
      <c r="BH11" s="40"/>
      <c r="BI11" s="40"/>
      <c r="BJ11" s="40"/>
      <c r="BK11" s="40"/>
      <c r="BL11" s="363"/>
      <c r="BM11" s="363"/>
      <c r="BN11" s="363"/>
      <c r="BO11" s="363"/>
      <c r="BP11" s="363"/>
      <c r="BQ11" s="363"/>
      <c r="BR11" s="363"/>
      <c r="BS11" s="363"/>
      <c r="BT11" s="363"/>
      <c r="BU11" s="363"/>
      <c r="BV11" s="363"/>
      <c r="BW11" s="363"/>
      <c r="BX11" s="363"/>
      <c r="BY11" s="363"/>
      <c r="BZ11" s="363"/>
      <c r="CA11" s="363"/>
      <c r="CB11" s="363"/>
      <c r="CC11" s="363"/>
      <c r="CD11" s="363"/>
    </row>
    <row r="12" spans="1:82" s="2" customFormat="1" x14ac:dyDescent="0.2">
      <c r="A12" s="117" t="s">
        <v>205</v>
      </c>
      <c r="B12" s="230" t="s">
        <v>209</v>
      </c>
      <c r="C12" s="8" t="s">
        <v>72</v>
      </c>
      <c r="D12" s="8" t="s">
        <v>31</v>
      </c>
      <c r="E12" s="153"/>
      <c r="F12" s="166"/>
      <c r="G12" s="154"/>
      <c r="H12" s="11"/>
      <c r="I12" s="153"/>
      <c r="J12" s="166"/>
      <c r="K12" s="154"/>
      <c r="L12" s="153">
        <v>0.41666666666666669</v>
      </c>
      <c r="M12" s="166"/>
      <c r="N12" s="154">
        <v>0.79166666666666663</v>
      </c>
      <c r="O12" s="153">
        <v>0.41666666666666669</v>
      </c>
      <c r="P12" s="166"/>
      <c r="Q12" s="154">
        <v>0.79166666666666663</v>
      </c>
      <c r="R12" s="161">
        <v>0.58333333333333337</v>
      </c>
      <c r="S12" s="167" t="s">
        <v>244</v>
      </c>
      <c r="T12" s="160">
        <v>0.91666666666666663</v>
      </c>
      <c r="U12" s="161">
        <v>0.58333333333333337</v>
      </c>
      <c r="V12" s="167" t="s">
        <v>244</v>
      </c>
      <c r="W12" s="160">
        <v>0.91666666666666663</v>
      </c>
      <c r="X12" s="153">
        <v>0.41666666666666669</v>
      </c>
      <c r="Y12" s="166"/>
      <c r="Z12" s="154">
        <v>0.79166666666666663</v>
      </c>
      <c r="AA12" s="153"/>
      <c r="AB12" s="166"/>
      <c r="AC12" s="154"/>
      <c r="AD12" s="11"/>
      <c r="AE12" s="153"/>
      <c r="AF12" s="166"/>
      <c r="AG12" s="154"/>
      <c r="AH12" s="153">
        <v>0.41666666666666669</v>
      </c>
      <c r="AI12" s="166"/>
      <c r="AJ12" s="154">
        <v>0.79166666666666663</v>
      </c>
      <c r="AK12" s="153">
        <v>0.41666666666666669</v>
      </c>
      <c r="AL12" s="166"/>
      <c r="AM12" s="154">
        <v>0.79166666666666663</v>
      </c>
      <c r="AN12" s="153">
        <v>0.41666666666666669</v>
      </c>
      <c r="AO12" s="166"/>
      <c r="AP12" s="154">
        <v>0.79166666666666663</v>
      </c>
      <c r="AQ12" s="153">
        <v>0.41666666666666669</v>
      </c>
      <c r="AR12" s="166"/>
      <c r="AS12" s="154">
        <v>0.79166666666666663</v>
      </c>
      <c r="AT12" s="153">
        <v>0.41666666666666669</v>
      </c>
      <c r="AU12" s="166"/>
      <c r="AV12" s="154">
        <v>0.79166666666666663</v>
      </c>
      <c r="AW12" s="153"/>
      <c r="AX12" s="166"/>
      <c r="AY12" s="154"/>
      <c r="AZ12" s="11"/>
      <c r="BA12" s="153"/>
      <c r="BB12" s="166"/>
      <c r="BC12" s="154"/>
      <c r="BD12" s="304"/>
      <c r="BE12" s="304"/>
      <c r="BF12" s="304"/>
      <c r="BG12" s="304"/>
      <c r="BH12" s="304"/>
      <c r="BI12" s="304"/>
      <c r="BJ12" s="304"/>
      <c r="BK12" s="304"/>
      <c r="BL12" s="304"/>
      <c r="BM12" s="304"/>
      <c r="BN12" s="304"/>
      <c r="BO12" s="304"/>
      <c r="BP12" s="304"/>
      <c r="BQ12" s="304"/>
      <c r="BR12" s="304"/>
      <c r="BS12" s="304"/>
      <c r="BT12" s="304"/>
      <c r="BU12" s="304"/>
      <c r="BV12" s="304"/>
      <c r="BW12" s="304"/>
      <c r="BX12" s="304"/>
      <c r="BY12" s="304"/>
      <c r="BZ12" s="304"/>
      <c r="CA12" s="304"/>
      <c r="CB12" s="304"/>
      <c r="CC12" s="304"/>
      <c r="CD12" s="304"/>
    </row>
    <row r="13" spans="1:82" s="5" customFormat="1" x14ac:dyDescent="0.2">
      <c r="A13" s="140" t="s">
        <v>140</v>
      </c>
      <c r="B13" s="231" t="s">
        <v>170</v>
      </c>
      <c r="C13" s="150" t="s">
        <v>210</v>
      </c>
      <c r="D13" s="150" t="s">
        <v>39</v>
      </c>
      <c r="E13" s="153"/>
      <c r="F13" s="166"/>
      <c r="G13" s="154"/>
      <c r="H13" s="147"/>
      <c r="I13" s="161">
        <v>0.58333333333333337</v>
      </c>
      <c r="J13" s="167" t="s">
        <v>244</v>
      </c>
      <c r="K13" s="160">
        <v>0.91666666666666663</v>
      </c>
      <c r="L13" s="161">
        <v>0.58333333333333337</v>
      </c>
      <c r="M13" s="167" t="s">
        <v>244</v>
      </c>
      <c r="N13" s="160">
        <v>0.91666666666666663</v>
      </c>
      <c r="O13" s="161">
        <v>0.58333333333333337</v>
      </c>
      <c r="P13" s="167" t="s">
        <v>244</v>
      </c>
      <c r="Q13" s="160">
        <v>0.91666666666666663</v>
      </c>
      <c r="R13" s="161">
        <v>0.58333333333333337</v>
      </c>
      <c r="S13" s="167" t="s">
        <v>244</v>
      </c>
      <c r="T13" s="160">
        <v>0.91666666666666663</v>
      </c>
      <c r="U13" s="161">
        <v>0.58333333333333337</v>
      </c>
      <c r="V13" s="167" t="s">
        <v>244</v>
      </c>
      <c r="W13" s="160">
        <v>0.91666666666666663</v>
      </c>
      <c r="X13" s="153" t="s">
        <v>7</v>
      </c>
      <c r="Y13" s="166"/>
      <c r="Z13" s="154"/>
      <c r="AA13" s="153"/>
      <c r="AB13" s="166"/>
      <c r="AC13" s="154"/>
      <c r="AD13" s="147"/>
      <c r="AE13" s="161">
        <v>0.58333333333333337</v>
      </c>
      <c r="AF13" s="167" t="s">
        <v>244</v>
      </c>
      <c r="AG13" s="160">
        <v>0.91666666666666663</v>
      </c>
      <c r="AH13" s="161">
        <v>0.58333333333333337</v>
      </c>
      <c r="AI13" s="167" t="s">
        <v>244</v>
      </c>
      <c r="AJ13" s="160">
        <v>0.91666666666666663</v>
      </c>
      <c r="AK13" s="161">
        <v>0.58333333333333337</v>
      </c>
      <c r="AL13" s="167" t="s">
        <v>244</v>
      </c>
      <c r="AM13" s="160">
        <v>0.91666666666666663</v>
      </c>
      <c r="AN13" s="161">
        <v>0.58333333333333337</v>
      </c>
      <c r="AO13" s="167" t="s">
        <v>244</v>
      </c>
      <c r="AP13" s="160">
        <v>0.91666666666666663</v>
      </c>
      <c r="AQ13" s="161">
        <v>0.58333333333333337</v>
      </c>
      <c r="AR13" s="167" t="s">
        <v>244</v>
      </c>
      <c r="AS13" s="160">
        <v>0.91666666666666663</v>
      </c>
      <c r="AT13" s="153" t="s">
        <v>7</v>
      </c>
      <c r="AU13" s="166"/>
      <c r="AV13" s="154"/>
      <c r="AW13" s="153"/>
      <c r="AX13" s="166"/>
      <c r="AY13" s="154"/>
      <c r="AZ13" s="147"/>
      <c r="BA13" s="161">
        <v>0.58333333333333337</v>
      </c>
      <c r="BB13" s="167" t="s">
        <v>244</v>
      </c>
      <c r="BC13" s="160">
        <v>0.91666666666666663</v>
      </c>
      <c r="BD13" s="40"/>
      <c r="BE13" s="40"/>
      <c r="BF13" s="40"/>
      <c r="BG13" s="40"/>
      <c r="BH13" s="40"/>
      <c r="BI13" s="40"/>
      <c r="BJ13" s="40"/>
      <c r="BK13" s="40"/>
      <c r="BL13" s="292"/>
      <c r="BM13" s="292"/>
      <c r="BN13" s="292"/>
      <c r="BO13" s="292"/>
      <c r="BP13" s="292"/>
      <c r="BQ13" s="292"/>
      <c r="BR13" s="292"/>
      <c r="BS13" s="292"/>
      <c r="BT13" s="292"/>
      <c r="BU13" s="292"/>
      <c r="BV13" s="292"/>
      <c r="BW13" s="292"/>
      <c r="BX13" s="292"/>
      <c r="BY13" s="292"/>
      <c r="BZ13" s="292"/>
      <c r="CA13" s="292"/>
      <c r="CB13" s="292"/>
      <c r="CC13" s="292"/>
      <c r="CD13" s="292"/>
    </row>
    <row r="14" spans="1:82" s="5" customFormat="1" x14ac:dyDescent="0.2">
      <c r="A14" s="14" t="s">
        <v>0</v>
      </c>
      <c r="B14" s="231" t="s">
        <v>171</v>
      </c>
      <c r="C14" s="15" t="s">
        <v>72</v>
      </c>
      <c r="D14" s="15" t="s">
        <v>31</v>
      </c>
      <c r="E14" s="153"/>
      <c r="F14" s="166"/>
      <c r="G14" s="13"/>
      <c r="H14" s="16"/>
      <c r="I14" s="153"/>
      <c r="J14" s="166"/>
      <c r="K14" s="154"/>
      <c r="L14" s="9">
        <v>0.375</v>
      </c>
      <c r="M14" s="166"/>
      <c r="N14" s="10">
        <v>0.75</v>
      </c>
      <c r="O14" s="9">
        <v>0.375</v>
      </c>
      <c r="P14" s="166"/>
      <c r="Q14" s="10">
        <v>0.75</v>
      </c>
      <c r="R14" s="9">
        <v>0.375</v>
      </c>
      <c r="S14" s="166"/>
      <c r="T14" s="10">
        <v>0.75</v>
      </c>
      <c r="U14" s="9">
        <v>0.375</v>
      </c>
      <c r="V14" s="166"/>
      <c r="W14" s="10">
        <v>0.75</v>
      </c>
      <c r="X14" s="153">
        <v>0.375</v>
      </c>
      <c r="Y14" s="166"/>
      <c r="Z14" s="154">
        <v>0.75</v>
      </c>
      <c r="AA14" s="153"/>
      <c r="AB14" s="166"/>
      <c r="AC14" s="154"/>
      <c r="AD14" s="16"/>
      <c r="AE14" s="153"/>
      <c r="AF14" s="166"/>
      <c r="AG14" s="154"/>
      <c r="AH14" s="9">
        <v>0.375</v>
      </c>
      <c r="AI14" s="166"/>
      <c r="AJ14" s="10">
        <v>0.75</v>
      </c>
      <c r="AK14" s="9">
        <v>0.375</v>
      </c>
      <c r="AL14" s="166"/>
      <c r="AM14" s="10">
        <v>0.75</v>
      </c>
      <c r="AN14" s="9">
        <v>0.375</v>
      </c>
      <c r="AO14" s="166"/>
      <c r="AP14" s="10">
        <v>0.75</v>
      </c>
      <c r="AQ14" s="9">
        <v>0.375</v>
      </c>
      <c r="AR14" s="166"/>
      <c r="AS14" s="10">
        <v>0.75</v>
      </c>
      <c r="AT14" s="153">
        <v>0.375</v>
      </c>
      <c r="AU14" s="166"/>
      <c r="AV14" s="154">
        <v>0.75</v>
      </c>
      <c r="AW14" s="153"/>
      <c r="AX14" s="166"/>
      <c r="AY14" s="154"/>
      <c r="AZ14" s="16"/>
      <c r="BA14" s="135">
        <v>0.375</v>
      </c>
      <c r="BB14" s="172" t="s">
        <v>125</v>
      </c>
      <c r="BC14" s="351">
        <v>0.70833333333333337</v>
      </c>
      <c r="BD14"/>
      <c r="BE14"/>
      <c r="BF14"/>
      <c r="BG14"/>
      <c r="BH14" s="40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</row>
    <row r="15" spans="1:82" s="5" customFormat="1" x14ac:dyDescent="0.2">
      <c r="A15" s="140" t="s">
        <v>155</v>
      </c>
      <c r="B15" s="231" t="s">
        <v>172</v>
      </c>
      <c r="C15" s="150" t="s">
        <v>118</v>
      </c>
      <c r="D15" s="150" t="s">
        <v>31</v>
      </c>
      <c r="E15" s="348">
        <v>0.33333333333333331</v>
      </c>
      <c r="F15" s="349"/>
      <c r="G15" s="350">
        <v>0.83333333333333337</v>
      </c>
      <c r="H15" s="147"/>
      <c r="I15" s="153"/>
      <c r="J15" s="166"/>
      <c r="K15" s="154"/>
      <c r="L15" s="153">
        <v>0.33333333333333331</v>
      </c>
      <c r="M15" s="166"/>
      <c r="N15" s="154">
        <v>0.70833333333333337</v>
      </c>
      <c r="O15" s="367">
        <v>0.33333333333333331</v>
      </c>
      <c r="P15" s="368"/>
      <c r="Q15" s="369">
        <v>0.70833333333333337</v>
      </c>
      <c r="R15" s="153">
        <v>0.33333333333333331</v>
      </c>
      <c r="S15" s="166"/>
      <c r="T15" s="154">
        <v>0.70833333333333337</v>
      </c>
      <c r="U15" s="153">
        <v>0.33333333333333331</v>
      </c>
      <c r="V15" s="166"/>
      <c r="W15" s="154">
        <v>0.70833333333333337</v>
      </c>
      <c r="X15" s="153">
        <v>0.33333333333333331</v>
      </c>
      <c r="Y15" s="166"/>
      <c r="Z15" s="154">
        <v>0.70833333333333337</v>
      </c>
      <c r="AC15" s="370"/>
      <c r="AD15" s="147"/>
      <c r="AE15" s="153"/>
      <c r="AF15" s="166"/>
      <c r="AG15" s="154"/>
      <c r="AH15" s="153">
        <v>0.33333333333333331</v>
      </c>
      <c r="AI15" s="166"/>
      <c r="AJ15" s="154">
        <v>0.70833333333333337</v>
      </c>
      <c r="AK15" s="153">
        <v>0.33333333333333331</v>
      </c>
      <c r="AL15" s="166"/>
      <c r="AM15" s="154">
        <v>0.70833333333333337</v>
      </c>
      <c r="AN15" s="153">
        <v>0.33333333333333331</v>
      </c>
      <c r="AO15" s="166"/>
      <c r="AP15" s="154">
        <v>0.70833333333333337</v>
      </c>
      <c r="AQ15" s="153">
        <v>0.33333333333333331</v>
      </c>
      <c r="AR15" s="166"/>
      <c r="AS15" s="154">
        <v>0.70833333333333337</v>
      </c>
      <c r="AT15" s="153">
        <v>0.33333333333333331</v>
      </c>
      <c r="AU15" s="166"/>
      <c r="AV15" s="154">
        <v>0.70833333333333337</v>
      </c>
      <c r="AW15" s="153"/>
      <c r="AX15" s="166"/>
      <c r="AY15" s="154"/>
      <c r="AZ15" s="147"/>
      <c r="BA15" s="153"/>
      <c r="BB15" s="166"/>
      <c r="BC15" s="154"/>
      <c r="BD15" s="289"/>
      <c r="BE15" s="289"/>
      <c r="BF15" s="289"/>
      <c r="BG15" s="289"/>
      <c r="BH15" s="40"/>
      <c r="BI15" s="289"/>
      <c r="BJ15" s="289"/>
      <c r="BK15" s="289"/>
      <c r="BL15" s="289"/>
      <c r="BM15" s="289"/>
      <c r="BN15" s="289"/>
      <c r="BO15" s="289"/>
      <c r="BP15" s="289"/>
      <c r="BQ15" s="289"/>
      <c r="BR15" s="289"/>
      <c r="BS15" s="289"/>
      <c r="BT15" s="289"/>
      <c r="BU15" s="289"/>
      <c r="BV15" s="289"/>
      <c r="BW15" s="289"/>
      <c r="BX15" s="289"/>
      <c r="BY15" s="289"/>
      <c r="BZ15" s="289"/>
      <c r="CA15" s="289"/>
      <c r="CB15" s="289"/>
      <c r="CC15" s="289"/>
      <c r="CD15" s="289"/>
    </row>
    <row r="16" spans="1:82" s="5" customFormat="1" x14ac:dyDescent="0.2">
      <c r="A16" s="140" t="s">
        <v>217</v>
      </c>
      <c r="B16" s="231" t="s">
        <v>218</v>
      </c>
      <c r="C16" s="150" t="s">
        <v>118</v>
      </c>
      <c r="D16" s="150" t="s">
        <v>39</v>
      </c>
      <c r="E16" s="153"/>
      <c r="F16" s="166"/>
      <c r="G16" s="154"/>
      <c r="H16" s="147"/>
      <c r="I16" s="153"/>
      <c r="J16" s="166"/>
      <c r="K16" s="154"/>
      <c r="L16" s="161">
        <v>0.58333333333333337</v>
      </c>
      <c r="M16" s="167" t="s">
        <v>244</v>
      </c>
      <c r="N16" s="160">
        <v>0.91666666666666663</v>
      </c>
      <c r="O16" s="161">
        <v>0.58333333333333337</v>
      </c>
      <c r="P16" s="167" t="s">
        <v>244</v>
      </c>
      <c r="Q16" s="160">
        <v>0.91666666666666663</v>
      </c>
      <c r="R16" s="161">
        <v>0.58333333333333337</v>
      </c>
      <c r="S16" s="167" t="s">
        <v>244</v>
      </c>
      <c r="T16" s="160">
        <v>0.91666666666666663</v>
      </c>
      <c r="U16" s="161">
        <v>0.58333333333333337</v>
      </c>
      <c r="V16" s="167" t="s">
        <v>244</v>
      </c>
      <c r="W16" s="160">
        <v>0.91666666666666663</v>
      </c>
      <c r="X16" s="161">
        <v>0.58333333333333337</v>
      </c>
      <c r="Y16" s="167" t="s">
        <v>244</v>
      </c>
      <c r="Z16" s="160">
        <v>0.91666666666666663</v>
      </c>
      <c r="AA16" s="153"/>
      <c r="AB16" s="166"/>
      <c r="AC16" s="154"/>
      <c r="AD16" s="147"/>
      <c r="AE16" s="153"/>
      <c r="AF16" s="166"/>
      <c r="AG16" s="154"/>
      <c r="AH16" s="161">
        <v>0.58333333333333337</v>
      </c>
      <c r="AI16" s="167" t="s">
        <v>244</v>
      </c>
      <c r="AJ16" s="160">
        <v>0.91666666666666663</v>
      </c>
      <c r="AK16" s="161">
        <v>0.58333333333333337</v>
      </c>
      <c r="AL16" s="167" t="s">
        <v>244</v>
      </c>
      <c r="AM16" s="160">
        <v>0.91666666666666663</v>
      </c>
      <c r="AN16" s="161">
        <v>0.58333333333333337</v>
      </c>
      <c r="AO16" s="167" t="s">
        <v>244</v>
      </c>
      <c r="AP16" s="160">
        <v>0.91666666666666663</v>
      </c>
      <c r="AQ16" s="161">
        <v>0.58333333333333337</v>
      </c>
      <c r="AR16" s="167" t="s">
        <v>244</v>
      </c>
      <c r="AS16" s="160">
        <v>0.91666666666666663</v>
      </c>
      <c r="AT16" s="161">
        <v>0.58333333333333337</v>
      </c>
      <c r="AU16" s="167" t="s">
        <v>244</v>
      </c>
      <c r="AV16" s="160">
        <v>0.91666666666666663</v>
      </c>
      <c r="AW16" s="153"/>
      <c r="AX16" s="166"/>
      <c r="AY16" s="154"/>
      <c r="AZ16" s="147"/>
      <c r="BA16" s="153"/>
      <c r="BB16" s="166"/>
      <c r="BC16" s="154"/>
      <c r="BD16" s="314"/>
      <c r="BE16" s="314"/>
      <c r="BF16" s="314"/>
      <c r="BG16" s="314"/>
      <c r="BH16" s="40"/>
      <c r="BI16" s="314"/>
      <c r="BJ16" s="314"/>
      <c r="BK16" s="314"/>
      <c r="BL16" s="314"/>
      <c r="BM16" s="314"/>
      <c r="BN16" s="314"/>
      <c r="BO16" s="314"/>
      <c r="BP16" s="314"/>
      <c r="BQ16" s="314"/>
      <c r="BR16" s="314"/>
      <c r="BS16" s="314"/>
      <c r="BT16" s="314"/>
      <c r="BU16" s="314"/>
      <c r="BV16" s="314"/>
      <c r="BW16" s="314"/>
      <c r="BX16" s="314"/>
      <c r="BY16" s="314"/>
      <c r="BZ16" s="314"/>
      <c r="CA16" s="314"/>
      <c r="CB16" s="314"/>
      <c r="CC16" s="314"/>
      <c r="CD16" s="314"/>
    </row>
    <row r="17" spans="1:82" s="5" customFormat="1" x14ac:dyDescent="0.2">
      <c r="A17" s="140" t="s">
        <v>211</v>
      </c>
      <c r="B17" s="231" t="s">
        <v>212</v>
      </c>
      <c r="C17" s="150" t="s">
        <v>72</v>
      </c>
      <c r="D17" s="150" t="s">
        <v>39</v>
      </c>
      <c r="E17" s="153"/>
      <c r="F17" s="166"/>
      <c r="G17" s="154"/>
      <c r="H17" s="147"/>
      <c r="I17" s="153"/>
      <c r="J17" s="166"/>
      <c r="K17" s="154"/>
      <c r="L17" s="153">
        <v>0.29166666666666669</v>
      </c>
      <c r="M17" s="166"/>
      <c r="N17" s="154">
        <v>0.66666666666666663</v>
      </c>
      <c r="O17" s="153">
        <v>0.29166666666666669</v>
      </c>
      <c r="P17" s="166"/>
      <c r="Q17" s="154">
        <v>0.66666666666666663</v>
      </c>
      <c r="R17" s="153">
        <v>0.29166666666666669</v>
      </c>
      <c r="S17" s="166"/>
      <c r="T17" s="154">
        <v>0.66666666666666663</v>
      </c>
      <c r="U17" s="153">
        <v>0.29166666666666669</v>
      </c>
      <c r="V17" s="166"/>
      <c r="W17" s="154">
        <v>0.66666666666666663</v>
      </c>
      <c r="X17" s="153">
        <v>0.29166666666666669</v>
      </c>
      <c r="Y17" s="166"/>
      <c r="Z17" s="154">
        <v>0.66666666666666663</v>
      </c>
      <c r="AA17" s="153"/>
      <c r="AB17" s="166"/>
      <c r="AC17" s="154"/>
      <c r="AD17" s="147"/>
      <c r="AE17" s="153"/>
      <c r="AF17" s="166"/>
      <c r="AG17" s="154"/>
      <c r="AH17" s="59" t="s">
        <v>7</v>
      </c>
      <c r="AI17" s="176"/>
      <c r="AJ17" s="60"/>
      <c r="AK17" s="41" t="s">
        <v>82</v>
      </c>
      <c r="AL17" s="177"/>
      <c r="AM17" s="42"/>
      <c r="AN17" s="153">
        <v>0.29166666666666669</v>
      </c>
      <c r="AO17" s="166"/>
      <c r="AP17" s="154">
        <v>0.66666666666666663</v>
      </c>
      <c r="AQ17" s="153">
        <v>0.29166666666666669</v>
      </c>
      <c r="AR17" s="166"/>
      <c r="AS17" s="154">
        <v>0.66666666666666663</v>
      </c>
      <c r="AT17" s="153">
        <v>0.29166666666666669</v>
      </c>
      <c r="AU17" s="166"/>
      <c r="AV17" s="154">
        <v>0.66666666666666663</v>
      </c>
      <c r="AW17" s="134">
        <v>0.25</v>
      </c>
      <c r="AX17" s="168" t="s">
        <v>244</v>
      </c>
      <c r="AY17" s="352">
        <v>0.58333333333333337</v>
      </c>
      <c r="AZ17" s="147"/>
      <c r="BA17" s="153"/>
      <c r="BB17" s="166"/>
      <c r="BC17" s="154"/>
      <c r="BD17" s="309"/>
      <c r="BE17" s="309"/>
      <c r="BF17" s="309"/>
      <c r="BG17" s="309"/>
      <c r="BH17" s="40"/>
      <c r="BI17" s="309"/>
      <c r="BJ17" s="309"/>
      <c r="BK17" s="309"/>
      <c r="BL17" s="309"/>
      <c r="BM17" s="309"/>
      <c r="BN17" s="309"/>
      <c r="BO17" s="309"/>
      <c r="BP17" s="309"/>
      <c r="BQ17" s="309"/>
      <c r="BR17" s="309"/>
      <c r="BS17" s="309"/>
      <c r="BT17" s="309"/>
      <c r="BU17" s="309"/>
      <c r="BV17" s="309"/>
      <c r="BW17" s="309"/>
      <c r="BX17" s="309"/>
      <c r="BY17" s="309"/>
      <c r="BZ17" s="309"/>
      <c r="CA17" s="309"/>
      <c r="CB17" s="309"/>
      <c r="CC17" s="309"/>
      <c r="CD17" s="309"/>
    </row>
    <row r="18" spans="1:82" s="5" customFormat="1" x14ac:dyDescent="0.2">
      <c r="A18" s="140" t="s">
        <v>287</v>
      </c>
      <c r="B18" s="231" t="s">
        <v>290</v>
      </c>
      <c r="C18" s="150" t="s">
        <v>220</v>
      </c>
      <c r="D18" s="150" t="s">
        <v>158</v>
      </c>
      <c r="E18" s="153"/>
      <c r="F18" s="166"/>
      <c r="G18" s="154"/>
      <c r="H18" s="147"/>
      <c r="I18" s="153"/>
      <c r="J18" s="166"/>
      <c r="K18" s="154"/>
      <c r="L18" s="385"/>
      <c r="M18" s="386"/>
      <c r="N18" s="387"/>
      <c r="O18" s="385"/>
      <c r="P18" s="386"/>
      <c r="Q18" s="387"/>
      <c r="R18" s="385"/>
      <c r="S18" s="386"/>
      <c r="T18" s="387"/>
      <c r="U18" s="385"/>
      <c r="V18" s="386"/>
      <c r="W18" s="387"/>
      <c r="X18" s="385"/>
      <c r="Y18" s="386"/>
      <c r="Z18" s="387"/>
      <c r="AA18" s="385"/>
      <c r="AB18" s="386"/>
      <c r="AC18" s="387"/>
      <c r="AD18" s="147"/>
      <c r="AE18" s="385"/>
      <c r="AF18" s="386"/>
      <c r="AG18" s="387"/>
      <c r="AH18" s="17" t="s">
        <v>286</v>
      </c>
      <c r="AI18" s="169"/>
      <c r="AJ18" s="155"/>
      <c r="AK18" s="367" t="s">
        <v>286</v>
      </c>
      <c r="AL18" s="368"/>
      <c r="AM18" s="369"/>
      <c r="AN18" s="153" t="s">
        <v>286</v>
      </c>
      <c r="AO18" s="166"/>
      <c r="AP18" s="154"/>
      <c r="AQ18" s="153" t="s">
        <v>286</v>
      </c>
      <c r="AR18" s="166"/>
      <c r="AS18" s="154"/>
      <c r="AT18" s="153" t="s">
        <v>286</v>
      </c>
      <c r="AU18" s="166"/>
      <c r="AV18" s="154"/>
      <c r="AW18" s="17"/>
      <c r="AX18" s="169"/>
      <c r="AY18" s="155"/>
      <c r="AZ18" s="147"/>
      <c r="BA18" s="153"/>
      <c r="BB18" s="166"/>
      <c r="BC18" s="154"/>
      <c r="BD18" s="371"/>
      <c r="BE18" s="371"/>
      <c r="BF18" s="371"/>
      <c r="BG18" s="371"/>
      <c r="BH18" s="40"/>
      <c r="BI18" s="371"/>
      <c r="BJ18" s="371"/>
      <c r="BK18" s="371"/>
      <c r="BL18" s="371"/>
      <c r="BM18" s="371"/>
      <c r="BN18" s="371"/>
      <c r="BO18" s="371"/>
      <c r="BP18" s="371"/>
      <c r="BQ18" s="371"/>
      <c r="BR18" s="371"/>
      <c r="BS18" s="371"/>
      <c r="BT18" s="371"/>
      <c r="BU18" s="371"/>
      <c r="BV18" s="371"/>
      <c r="BW18" s="371"/>
      <c r="BX18" s="371"/>
      <c r="BY18" s="371"/>
      <c r="BZ18" s="371"/>
      <c r="CA18" s="371"/>
      <c r="CB18" s="371"/>
      <c r="CC18" s="371"/>
      <c r="CD18" s="371"/>
    </row>
    <row r="19" spans="1:82" s="5" customFormat="1" x14ac:dyDescent="0.2">
      <c r="A19" s="140" t="s">
        <v>106</v>
      </c>
      <c r="B19" s="231" t="s">
        <v>173</v>
      </c>
      <c r="C19" s="150" t="s">
        <v>220</v>
      </c>
      <c r="D19" s="15" t="s">
        <v>31</v>
      </c>
      <c r="E19" s="161" t="s">
        <v>89</v>
      </c>
      <c r="F19" s="167" t="s">
        <v>244</v>
      </c>
      <c r="G19" s="158" t="s">
        <v>86</v>
      </c>
      <c r="H19" s="16"/>
      <c r="I19" s="9"/>
      <c r="J19" s="166"/>
      <c r="K19" s="10"/>
      <c r="L19" s="9" t="s">
        <v>7</v>
      </c>
      <c r="M19" s="166"/>
      <c r="N19" s="10"/>
      <c r="O19" s="9" t="s">
        <v>7</v>
      </c>
      <c r="P19" s="166"/>
      <c r="Q19" s="10"/>
      <c r="R19" s="9" t="s">
        <v>7</v>
      </c>
      <c r="S19" s="166"/>
      <c r="T19" s="10"/>
      <c r="U19" s="9" t="s">
        <v>7</v>
      </c>
      <c r="V19" s="166"/>
      <c r="W19" s="10"/>
      <c r="X19" s="157">
        <v>0.91666666666666663</v>
      </c>
      <c r="Y19" s="173" t="s">
        <v>244</v>
      </c>
      <c r="Z19" s="156">
        <v>0.25</v>
      </c>
      <c r="AA19" s="161" t="s">
        <v>89</v>
      </c>
      <c r="AB19" s="167" t="s">
        <v>244</v>
      </c>
      <c r="AC19" s="158" t="s">
        <v>86</v>
      </c>
      <c r="AD19" s="16"/>
      <c r="AE19" s="9"/>
      <c r="AF19" s="166"/>
      <c r="AG19" s="10"/>
      <c r="AH19" s="9" t="s">
        <v>7</v>
      </c>
      <c r="AI19" s="166"/>
      <c r="AJ19" s="10"/>
      <c r="AK19" s="9" t="s">
        <v>7</v>
      </c>
      <c r="AL19" s="166"/>
      <c r="AM19" s="10"/>
      <c r="AN19" s="9" t="s">
        <v>7</v>
      </c>
      <c r="AO19" s="166"/>
      <c r="AP19" s="10"/>
      <c r="AQ19" s="9" t="s">
        <v>7</v>
      </c>
      <c r="AR19" s="166"/>
      <c r="AS19" s="10"/>
      <c r="AT19" s="354">
        <v>0.91666666666666663</v>
      </c>
      <c r="AU19" s="355" t="s">
        <v>244</v>
      </c>
      <c r="AV19" s="356">
        <v>0.25</v>
      </c>
      <c r="AW19" s="161" t="s">
        <v>89</v>
      </c>
      <c r="AX19" s="167" t="s">
        <v>244</v>
      </c>
      <c r="AY19" s="158" t="s">
        <v>86</v>
      </c>
      <c r="AZ19" s="16"/>
      <c r="BA19" s="9"/>
      <c r="BB19" s="166"/>
      <c r="BC19" s="10"/>
      <c r="BD19"/>
      <c r="BE19"/>
      <c r="BF19"/>
      <c r="BG19"/>
      <c r="BH19" s="40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</row>
    <row r="20" spans="1:82" s="5" customFormat="1" x14ac:dyDescent="0.2">
      <c r="A20" s="14" t="s">
        <v>34</v>
      </c>
      <c r="B20" s="231" t="s">
        <v>174</v>
      </c>
      <c r="C20" s="15" t="s">
        <v>118</v>
      </c>
      <c r="D20" s="15" t="s">
        <v>30</v>
      </c>
      <c r="E20" s="152"/>
      <c r="F20" s="165"/>
      <c r="G20" s="151"/>
      <c r="H20" s="16"/>
      <c r="I20" s="48"/>
      <c r="J20" s="165"/>
      <c r="K20" s="47"/>
      <c r="L20" s="12">
        <v>0.25</v>
      </c>
      <c r="M20" s="166" t="s">
        <v>125</v>
      </c>
      <c r="N20" s="13">
        <v>0.625</v>
      </c>
      <c r="O20" s="12">
        <v>0.25</v>
      </c>
      <c r="P20" s="166" t="s">
        <v>125</v>
      </c>
      <c r="Q20" s="13">
        <v>0.625</v>
      </c>
      <c r="R20" s="12">
        <v>0.25</v>
      </c>
      <c r="S20" s="166" t="s">
        <v>125</v>
      </c>
      <c r="T20" s="13">
        <v>0.625</v>
      </c>
      <c r="U20" s="12">
        <v>0.25</v>
      </c>
      <c r="V20" s="166" t="s">
        <v>125</v>
      </c>
      <c r="W20" s="13">
        <v>0.625</v>
      </c>
      <c r="X20" s="12">
        <v>0.25</v>
      </c>
      <c r="Y20" s="166" t="s">
        <v>125</v>
      </c>
      <c r="Z20" s="13">
        <v>0.625</v>
      </c>
      <c r="AA20" s="152"/>
      <c r="AB20" s="165"/>
      <c r="AC20" s="151"/>
      <c r="AD20" s="16"/>
      <c r="AE20" s="48"/>
      <c r="AF20" s="165"/>
      <c r="AG20" s="47"/>
      <c r="AH20" s="12">
        <v>0.25</v>
      </c>
      <c r="AI20" s="166" t="s">
        <v>125</v>
      </c>
      <c r="AJ20" s="13">
        <v>0.625</v>
      </c>
      <c r="AK20" s="12">
        <v>0.25</v>
      </c>
      <c r="AL20" s="166" t="s">
        <v>125</v>
      </c>
      <c r="AM20" s="13">
        <v>0.625</v>
      </c>
      <c r="AN20" s="12">
        <v>0.25</v>
      </c>
      <c r="AO20" s="166" t="s">
        <v>125</v>
      </c>
      <c r="AP20" s="13">
        <v>0.625</v>
      </c>
      <c r="AQ20" s="59" t="s">
        <v>7</v>
      </c>
      <c r="AR20" s="176"/>
      <c r="AS20" s="353"/>
      <c r="AT20" s="59" t="s">
        <v>7</v>
      </c>
      <c r="AU20" s="176"/>
      <c r="AV20" s="353"/>
      <c r="AW20" s="152"/>
      <c r="AX20" s="165"/>
      <c r="AY20" s="151"/>
      <c r="AZ20" s="16"/>
      <c r="BA20" s="48"/>
      <c r="BB20" s="165"/>
      <c r="BC20" s="47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</row>
    <row r="21" spans="1:82" s="5" customFormat="1" x14ac:dyDescent="0.2">
      <c r="A21" s="140" t="s">
        <v>146</v>
      </c>
      <c r="B21" s="231" t="s">
        <v>175</v>
      </c>
      <c r="C21" s="150" t="s">
        <v>72</v>
      </c>
      <c r="D21" s="150" t="s">
        <v>31</v>
      </c>
      <c r="E21" s="135">
        <v>0.33333333333333331</v>
      </c>
      <c r="F21" s="172" t="s">
        <v>125</v>
      </c>
      <c r="G21" s="351">
        <v>0.66666666666666663</v>
      </c>
      <c r="H21" s="147"/>
      <c r="I21" s="12"/>
      <c r="J21" s="164"/>
      <c r="K21" s="13"/>
      <c r="L21" s="153">
        <v>0.375</v>
      </c>
      <c r="M21" s="166"/>
      <c r="N21" s="154">
        <v>0.75</v>
      </c>
      <c r="O21" s="153">
        <v>0.375</v>
      </c>
      <c r="P21" s="166"/>
      <c r="Q21" s="154">
        <v>0.75</v>
      </c>
      <c r="R21" s="153">
        <v>0.375</v>
      </c>
      <c r="S21" s="166"/>
      <c r="T21" s="154">
        <v>0.75</v>
      </c>
      <c r="U21" s="153">
        <v>0.375</v>
      </c>
      <c r="V21" s="166"/>
      <c r="W21" s="154">
        <v>0.75</v>
      </c>
      <c r="X21" s="153">
        <v>0.375</v>
      </c>
      <c r="Y21" s="166"/>
      <c r="Z21" s="154">
        <v>0.75</v>
      </c>
      <c r="AA21" s="153"/>
      <c r="AB21" s="166"/>
      <c r="AC21" s="154"/>
      <c r="AD21" s="147"/>
      <c r="AE21" s="12"/>
      <c r="AF21" s="164"/>
      <c r="AG21" s="13"/>
      <c r="AH21" s="153">
        <v>0.375</v>
      </c>
      <c r="AI21" s="166"/>
      <c r="AJ21" s="154">
        <v>0.75</v>
      </c>
      <c r="AK21" s="153">
        <v>0.375</v>
      </c>
      <c r="AL21" s="166"/>
      <c r="AM21" s="154">
        <v>0.75</v>
      </c>
      <c r="AN21" s="153">
        <v>0.375</v>
      </c>
      <c r="AO21" s="166"/>
      <c r="AP21" s="154">
        <v>0.75</v>
      </c>
      <c r="AQ21" s="153">
        <v>0.375</v>
      </c>
      <c r="AR21" s="166"/>
      <c r="AS21" s="154">
        <v>0.75</v>
      </c>
      <c r="AT21" s="12">
        <v>0.375</v>
      </c>
      <c r="AU21" s="164"/>
      <c r="AV21" s="13">
        <v>0.75</v>
      </c>
      <c r="AW21" s="153"/>
      <c r="AX21" s="166"/>
      <c r="AY21" s="154"/>
      <c r="AZ21" s="147"/>
      <c r="BA21" s="12"/>
      <c r="BB21" s="164"/>
      <c r="BC21" s="13"/>
      <c r="BD21" s="274"/>
      <c r="BE21" s="274"/>
      <c r="BF21" s="274"/>
      <c r="BG21" s="274"/>
      <c r="BH21" s="274"/>
      <c r="BI21" s="274"/>
      <c r="BJ21" s="274"/>
      <c r="BK21" s="274"/>
      <c r="BL21" s="274"/>
      <c r="BM21" s="274"/>
      <c r="BN21" s="274"/>
      <c r="BO21" s="274"/>
      <c r="BP21" s="274"/>
      <c r="BQ21" s="274"/>
      <c r="BR21" s="274"/>
      <c r="BS21" s="274"/>
      <c r="BT21" s="274"/>
      <c r="BU21" s="274"/>
      <c r="BV21" s="274"/>
      <c r="BW21" s="274"/>
      <c r="BX21" s="274"/>
      <c r="BY21" s="274"/>
      <c r="BZ21" s="274"/>
      <c r="CA21" s="274"/>
      <c r="CB21" s="274"/>
      <c r="CC21" s="274"/>
      <c r="CD21" s="274"/>
    </row>
    <row r="22" spans="1:82" s="5" customFormat="1" x14ac:dyDescent="0.2">
      <c r="A22" s="14" t="s">
        <v>8</v>
      </c>
      <c r="B22" s="231" t="s">
        <v>176</v>
      </c>
      <c r="C22" s="15" t="s">
        <v>72</v>
      </c>
      <c r="D22" s="15" t="s">
        <v>31</v>
      </c>
      <c r="E22" s="153"/>
      <c r="F22" s="166"/>
      <c r="G22" s="154"/>
      <c r="H22" s="16"/>
      <c r="I22" s="153"/>
      <c r="J22" s="166"/>
      <c r="K22" s="10"/>
      <c r="L22" s="54">
        <v>0.29166666666666669</v>
      </c>
      <c r="M22" s="166"/>
      <c r="N22" s="55">
        <v>0.66666666666666663</v>
      </c>
      <c r="O22" s="54">
        <v>0.29166666666666669</v>
      </c>
      <c r="P22" s="166"/>
      <c r="Q22" s="55">
        <v>0.66666666666666663</v>
      </c>
      <c r="R22" s="54">
        <v>0.29166666666666669</v>
      </c>
      <c r="S22" s="166"/>
      <c r="T22" s="55">
        <v>0.66666666666666663</v>
      </c>
      <c r="U22" s="59" t="s">
        <v>7</v>
      </c>
      <c r="V22" s="176"/>
      <c r="W22" s="60"/>
      <c r="X22" s="59" t="s">
        <v>7</v>
      </c>
      <c r="Y22" s="176"/>
      <c r="Z22" s="60"/>
      <c r="AA22" s="57" t="s">
        <v>16</v>
      </c>
      <c r="AB22" s="175"/>
      <c r="AC22" s="58"/>
      <c r="AD22" s="147"/>
      <c r="AE22" s="57" t="s">
        <v>16</v>
      </c>
      <c r="AF22" s="175"/>
      <c r="AG22" s="58"/>
      <c r="AH22" s="54">
        <v>0.29166666666666669</v>
      </c>
      <c r="AI22" s="166"/>
      <c r="AJ22" s="55">
        <v>0.66666666666666663</v>
      </c>
      <c r="AK22" s="54">
        <v>0.29166666666666669</v>
      </c>
      <c r="AL22" s="166"/>
      <c r="AM22" s="55">
        <v>0.66666666666666663</v>
      </c>
      <c r="AN22" s="54">
        <v>0.29166666666666669</v>
      </c>
      <c r="AO22" s="166"/>
      <c r="AP22" s="55">
        <v>0.66666666666666663</v>
      </c>
      <c r="AQ22" s="54">
        <v>0.29166666666666669</v>
      </c>
      <c r="AR22" s="166"/>
      <c r="AS22" s="55">
        <v>0.66666666666666663</v>
      </c>
      <c r="AT22" s="54">
        <v>0.29166666666666669</v>
      </c>
      <c r="AU22" s="166"/>
      <c r="AV22" s="55">
        <v>0.66666666666666663</v>
      </c>
      <c r="AW22" s="153"/>
      <c r="AX22" s="166"/>
      <c r="AY22" s="154"/>
      <c r="AZ22" s="16"/>
      <c r="BA22" s="153"/>
      <c r="BB22" s="166"/>
      <c r="BC22" s="10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</row>
    <row r="23" spans="1:82" s="5" customFormat="1" ht="12" customHeight="1" thickBot="1" x14ac:dyDescent="0.25">
      <c r="A23" s="20" t="s">
        <v>1</v>
      </c>
      <c r="B23" s="234" t="s">
        <v>177</v>
      </c>
      <c r="C23" s="15" t="s">
        <v>118</v>
      </c>
      <c r="D23" s="15" t="s">
        <v>39</v>
      </c>
      <c r="E23" s="134">
        <v>0.25</v>
      </c>
      <c r="F23" s="168" t="s">
        <v>244</v>
      </c>
      <c r="G23" s="352">
        <v>0.58333333333333337</v>
      </c>
      <c r="H23" s="16"/>
      <c r="I23" s="57" t="s">
        <v>16</v>
      </c>
      <c r="J23" s="175"/>
      <c r="K23" s="58"/>
      <c r="L23" s="59" t="s">
        <v>7</v>
      </c>
      <c r="M23" s="176"/>
      <c r="N23" s="60"/>
      <c r="O23" s="59" t="s">
        <v>7</v>
      </c>
      <c r="P23" s="176"/>
      <c r="Q23" s="60"/>
      <c r="R23" s="59" t="s">
        <v>7</v>
      </c>
      <c r="S23" s="176"/>
      <c r="T23" s="60"/>
      <c r="U23" s="59" t="s">
        <v>7</v>
      </c>
      <c r="V23" s="176"/>
      <c r="W23" s="60"/>
      <c r="X23" s="59" t="s">
        <v>7</v>
      </c>
      <c r="Y23" s="176"/>
      <c r="Z23" s="60"/>
      <c r="AA23" s="57" t="s">
        <v>16</v>
      </c>
      <c r="AB23" s="175"/>
      <c r="AC23" s="58"/>
      <c r="AD23" s="147"/>
      <c r="AE23" s="57" t="s">
        <v>16</v>
      </c>
      <c r="AF23" s="175"/>
      <c r="AG23" s="58"/>
      <c r="AH23" s="357">
        <v>0.3125</v>
      </c>
      <c r="AI23" s="358"/>
      <c r="AJ23" s="359">
        <v>0.6875</v>
      </c>
      <c r="AK23" s="9">
        <v>0.3125</v>
      </c>
      <c r="AL23" s="364"/>
      <c r="AM23" s="365"/>
      <c r="AN23" s="9">
        <v>0.3125</v>
      </c>
      <c r="AO23" s="166"/>
      <c r="AP23" s="10">
        <v>0.6875</v>
      </c>
      <c r="AQ23" s="9">
        <v>0.3125</v>
      </c>
      <c r="AR23" s="166"/>
      <c r="AS23" s="10">
        <v>0.6875</v>
      </c>
      <c r="AT23" s="9">
        <v>0.3125</v>
      </c>
      <c r="AU23" s="166"/>
      <c r="AV23" s="10">
        <v>0.6875</v>
      </c>
      <c r="AW23" s="153"/>
      <c r="AX23" s="166"/>
      <c r="AY23" s="154"/>
      <c r="AZ23" s="16"/>
      <c r="BA23" s="9"/>
      <c r="BB23" s="166"/>
      <c r="BC23" s="10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</row>
    <row r="24" spans="1:82" s="5" customFormat="1" ht="13.5" hidden="1" thickBot="1" x14ac:dyDescent="0.25">
      <c r="A24" s="20" t="s">
        <v>76</v>
      </c>
      <c r="B24" s="234" t="s">
        <v>178</v>
      </c>
      <c r="C24" s="15" t="s">
        <v>160</v>
      </c>
      <c r="D24" s="15" t="s">
        <v>164</v>
      </c>
      <c r="E24" s="152"/>
      <c r="F24" s="165"/>
      <c r="G24" s="151"/>
      <c r="H24" s="16"/>
      <c r="I24" s="152"/>
      <c r="J24" s="165"/>
      <c r="K24" s="151"/>
      <c r="L24" s="153">
        <v>0.33333333333333331</v>
      </c>
      <c r="M24" s="166"/>
      <c r="N24" s="154">
        <v>0.70833333333333337</v>
      </c>
      <c r="O24" s="153">
        <v>0.29166666666666669</v>
      </c>
      <c r="P24" s="166"/>
      <c r="Q24" s="154">
        <v>0.64583333333333337</v>
      </c>
      <c r="R24" s="153">
        <v>0.33333333333333331</v>
      </c>
      <c r="S24" s="166"/>
      <c r="T24" s="154">
        <v>0.70833333333333337</v>
      </c>
      <c r="U24" s="153">
        <v>0.29166666666666669</v>
      </c>
      <c r="V24" s="166"/>
      <c r="W24" s="154">
        <v>0.64583333333333337</v>
      </c>
      <c r="X24" s="153">
        <v>0.33333333333333331</v>
      </c>
      <c r="Y24" s="166"/>
      <c r="Z24" s="154">
        <v>0.70833333333333337</v>
      </c>
      <c r="AA24" s="152"/>
      <c r="AB24" s="165"/>
      <c r="AC24" s="151"/>
      <c r="AD24" s="16"/>
      <c r="AE24" s="152"/>
      <c r="AF24" s="165"/>
      <c r="AG24" s="372"/>
      <c r="AH24" s="373">
        <v>0.33333333333333331</v>
      </c>
      <c r="AI24" s="374"/>
      <c r="AJ24" s="375">
        <v>0.70833333333333337</v>
      </c>
      <c r="AK24" s="147">
        <v>0.29166666666666669</v>
      </c>
      <c r="AL24" s="166"/>
      <c r="AM24" s="154">
        <v>0.64583333333333337</v>
      </c>
      <c r="AN24" s="153">
        <v>0.33333333333333331</v>
      </c>
      <c r="AO24" s="166"/>
      <c r="AP24" s="154">
        <v>0.70833333333333337</v>
      </c>
      <c r="AQ24" s="153">
        <v>0.29166666666666669</v>
      </c>
      <c r="AR24" s="166"/>
      <c r="AS24" s="154">
        <v>0.64583333333333337</v>
      </c>
      <c r="AT24" s="357">
        <v>0.33333333333333331</v>
      </c>
      <c r="AU24" s="166"/>
      <c r="AV24" s="154">
        <v>0.70833333333333337</v>
      </c>
      <c r="AW24" s="152"/>
      <c r="AX24" s="165"/>
      <c r="AY24" s="151"/>
      <c r="AZ24" s="16"/>
      <c r="BA24" s="152"/>
      <c r="BB24" s="165"/>
      <c r="BC24" s="151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</row>
    <row r="25" spans="1:82" s="5" customFormat="1" ht="13.5" thickBot="1" x14ac:dyDescent="0.25">
      <c r="A25" s="56" t="s">
        <v>109</v>
      </c>
      <c r="B25" s="234" t="s">
        <v>179</v>
      </c>
      <c r="C25" s="15" t="s">
        <v>72</v>
      </c>
      <c r="D25" s="15" t="s">
        <v>31</v>
      </c>
      <c r="E25" s="153"/>
      <c r="F25" s="166"/>
      <c r="G25" s="154"/>
      <c r="H25" s="16"/>
      <c r="I25" s="9"/>
      <c r="J25" s="166"/>
      <c r="K25" s="10"/>
      <c r="L25" s="153">
        <v>0.25</v>
      </c>
      <c r="M25" s="166" t="s">
        <v>125</v>
      </c>
      <c r="N25" s="154">
        <v>0.625</v>
      </c>
      <c r="O25" s="153">
        <v>0.25</v>
      </c>
      <c r="P25" s="166" t="s">
        <v>125</v>
      </c>
      <c r="Q25" s="154">
        <v>0.625</v>
      </c>
      <c r="R25" s="389">
        <v>0.25</v>
      </c>
      <c r="S25" s="166" t="s">
        <v>125</v>
      </c>
      <c r="T25" s="154">
        <v>0.625</v>
      </c>
      <c r="U25" s="153">
        <v>0.25</v>
      </c>
      <c r="V25" s="166" t="s">
        <v>125</v>
      </c>
      <c r="W25" s="154">
        <v>0.625</v>
      </c>
      <c r="X25" s="153">
        <v>0.25</v>
      </c>
      <c r="Y25" s="166" t="s">
        <v>125</v>
      </c>
      <c r="Z25" s="154">
        <v>0.625</v>
      </c>
      <c r="AA25" s="153"/>
      <c r="AB25" s="166"/>
      <c r="AC25" s="154"/>
      <c r="AD25" s="16"/>
      <c r="AE25" s="9"/>
      <c r="AF25" s="166"/>
      <c r="AG25" s="10"/>
      <c r="AH25" s="12">
        <v>0.25</v>
      </c>
      <c r="AI25" s="164" t="s">
        <v>125</v>
      </c>
      <c r="AJ25" s="13">
        <v>0.625</v>
      </c>
      <c r="AK25" s="153">
        <v>0.25</v>
      </c>
      <c r="AL25" s="166" t="s">
        <v>125</v>
      </c>
      <c r="AM25" s="154">
        <v>0.625</v>
      </c>
      <c r="AN25" s="153">
        <v>0.25</v>
      </c>
      <c r="AO25" s="166" t="s">
        <v>125</v>
      </c>
      <c r="AP25" s="154">
        <v>0.625</v>
      </c>
      <c r="AQ25" s="153">
        <v>0.25</v>
      </c>
      <c r="AR25" s="166" t="s">
        <v>125</v>
      </c>
      <c r="AS25" s="147">
        <v>0.625</v>
      </c>
      <c r="AT25" s="388">
        <v>0.25</v>
      </c>
      <c r="AU25" s="166" t="s">
        <v>125</v>
      </c>
      <c r="AV25" s="154">
        <v>0.625</v>
      </c>
      <c r="AW25" s="153"/>
      <c r="AX25" s="166"/>
      <c r="AY25" s="154"/>
      <c r="AZ25" s="16"/>
      <c r="BA25" s="9"/>
      <c r="BB25" s="166"/>
      <c r="BC25" s="10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</row>
    <row r="26" spans="1:82" s="5" customFormat="1" x14ac:dyDescent="0.2">
      <c r="A26" s="56" t="s">
        <v>150</v>
      </c>
      <c r="B26" s="234" t="s">
        <v>180</v>
      </c>
      <c r="C26" s="150" t="s">
        <v>118</v>
      </c>
      <c r="D26" s="150" t="s">
        <v>39</v>
      </c>
      <c r="E26" s="153"/>
      <c r="F26" s="166"/>
      <c r="G26" s="154"/>
      <c r="H26" s="147"/>
      <c r="I26" s="159">
        <v>0.91666666666666663</v>
      </c>
      <c r="J26" s="173" t="s">
        <v>244</v>
      </c>
      <c r="K26" s="158">
        <v>0.25</v>
      </c>
      <c r="L26" s="159">
        <v>0.91666666666666663</v>
      </c>
      <c r="M26" s="173" t="s">
        <v>244</v>
      </c>
      <c r="N26" s="158">
        <v>0.25</v>
      </c>
      <c r="O26" s="159">
        <v>0.91666666666666663</v>
      </c>
      <c r="P26" s="173" t="s">
        <v>244</v>
      </c>
      <c r="Q26" s="158">
        <v>0.25</v>
      </c>
      <c r="R26" s="159">
        <v>0.91666666666666663</v>
      </c>
      <c r="S26" s="173" t="s">
        <v>244</v>
      </c>
      <c r="T26" s="158">
        <v>0.25</v>
      </c>
      <c r="U26" s="159">
        <v>0.91666666666666663</v>
      </c>
      <c r="V26" s="173" t="s">
        <v>244</v>
      </c>
      <c r="W26" s="158">
        <v>0.25</v>
      </c>
      <c r="X26" s="153" t="s">
        <v>7</v>
      </c>
      <c r="Y26" s="166"/>
      <c r="Z26" s="154"/>
      <c r="AA26" s="153"/>
      <c r="AB26" s="166"/>
      <c r="AC26" s="154"/>
      <c r="AD26" s="147"/>
      <c r="AE26" s="59" t="s">
        <v>7</v>
      </c>
      <c r="AF26" s="176"/>
      <c r="AG26" s="60"/>
      <c r="AH26" s="59" t="s">
        <v>7</v>
      </c>
      <c r="AI26" s="176"/>
      <c r="AJ26" s="60"/>
      <c r="AK26" s="59" t="s">
        <v>7</v>
      </c>
      <c r="AL26" s="176"/>
      <c r="AM26" s="60"/>
      <c r="AN26" s="59" t="s">
        <v>7</v>
      </c>
      <c r="AO26" s="176"/>
      <c r="AP26" s="60"/>
      <c r="AQ26" s="59" t="s">
        <v>7</v>
      </c>
      <c r="AR26" s="176"/>
      <c r="AS26" s="60"/>
      <c r="AT26" s="12" t="s">
        <v>7</v>
      </c>
      <c r="AU26" s="166"/>
      <c r="AV26" s="154"/>
      <c r="AW26" s="153"/>
      <c r="AX26" s="166"/>
      <c r="AY26" s="154"/>
      <c r="AZ26" s="147"/>
      <c r="BA26" s="159">
        <v>0.91666666666666663</v>
      </c>
      <c r="BB26" s="173" t="s">
        <v>244</v>
      </c>
      <c r="BC26" s="158">
        <v>0.25</v>
      </c>
      <c r="BD26" s="279"/>
      <c r="BE26" s="279"/>
      <c r="BF26" s="279"/>
      <c r="BG26" s="279"/>
      <c r="BH26" s="279"/>
      <c r="BI26" s="279"/>
      <c r="BJ26" s="279"/>
      <c r="BK26" s="279"/>
      <c r="BL26" s="279"/>
      <c r="BM26" s="279"/>
      <c r="BN26" s="279"/>
      <c r="BO26" s="279"/>
      <c r="BP26" s="279"/>
      <c r="BQ26" s="279"/>
      <c r="BR26" s="279"/>
      <c r="BS26" s="279"/>
      <c r="BT26" s="279"/>
      <c r="BU26" s="279"/>
      <c r="BV26" s="279"/>
      <c r="BW26" s="279"/>
      <c r="BX26" s="279"/>
      <c r="BY26" s="279"/>
      <c r="BZ26" s="279"/>
      <c r="CA26" s="279"/>
      <c r="CB26" s="279"/>
      <c r="CC26" s="279"/>
      <c r="CD26" s="279"/>
    </row>
    <row r="27" spans="1:82" s="5" customFormat="1" x14ac:dyDescent="0.2">
      <c r="A27" s="56" t="s">
        <v>110</v>
      </c>
      <c r="B27" s="234" t="s">
        <v>181</v>
      </c>
      <c r="C27" s="15" t="s">
        <v>210</v>
      </c>
      <c r="D27" s="15" t="s">
        <v>31</v>
      </c>
      <c r="E27" s="153"/>
      <c r="F27" s="166"/>
      <c r="G27" s="154"/>
      <c r="H27" s="16"/>
      <c r="I27" s="9"/>
      <c r="J27" s="166"/>
      <c r="K27" s="10"/>
      <c r="L27" s="153">
        <v>0.33333333333333331</v>
      </c>
      <c r="M27" s="166"/>
      <c r="N27" s="154">
        <v>0.70833333333333337</v>
      </c>
      <c r="O27" s="153">
        <v>0.33333333333333331</v>
      </c>
      <c r="P27" s="166"/>
      <c r="Q27" s="154">
        <v>0.70833333333333337</v>
      </c>
      <c r="R27" s="153">
        <v>0.33333333333333331</v>
      </c>
      <c r="S27" s="166"/>
      <c r="T27" s="154">
        <v>0.70833333333333337</v>
      </c>
      <c r="U27" s="153">
        <v>0.33333333333333331</v>
      </c>
      <c r="V27" s="166"/>
      <c r="W27" s="154">
        <v>0.70833333333333337</v>
      </c>
      <c r="X27" s="153">
        <v>0.33333333333333331</v>
      </c>
      <c r="Y27" s="166"/>
      <c r="Z27" s="154">
        <v>0.70833333333333337</v>
      </c>
      <c r="AA27" s="153"/>
      <c r="AB27" s="166"/>
      <c r="AC27" s="154"/>
      <c r="AD27" s="16"/>
      <c r="AE27" s="9"/>
      <c r="AF27" s="166"/>
      <c r="AG27" s="10"/>
      <c r="AH27" s="153">
        <v>0.33333333333333331</v>
      </c>
      <c r="AI27" s="166"/>
      <c r="AJ27" s="154">
        <v>0.70833333333333337</v>
      </c>
      <c r="AK27" s="153">
        <v>0.33333333333333331</v>
      </c>
      <c r="AL27" s="166"/>
      <c r="AM27" s="154">
        <v>0.70833333333333337</v>
      </c>
      <c r="AN27" s="153">
        <v>0.33333333333333331</v>
      </c>
      <c r="AO27" s="166"/>
      <c r="AP27" s="154">
        <v>0.70833333333333337</v>
      </c>
      <c r="AQ27" s="153">
        <v>0.33333333333333331</v>
      </c>
      <c r="AR27" s="166"/>
      <c r="AS27" s="154">
        <v>0.70833333333333337</v>
      </c>
      <c r="AT27" s="153">
        <v>0.33333333333333331</v>
      </c>
      <c r="AU27" s="166"/>
      <c r="AV27" s="154">
        <v>0.70833333333333337</v>
      </c>
      <c r="AW27" s="348">
        <v>0.33333333333333331</v>
      </c>
      <c r="AX27" s="349"/>
      <c r="AY27" s="350">
        <v>0.83333333333333337</v>
      </c>
      <c r="AZ27" s="16"/>
      <c r="BA27" s="9"/>
      <c r="BB27" s="166"/>
      <c r="BC27" s="10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</row>
    <row r="28" spans="1:82" s="5" customFormat="1" x14ac:dyDescent="0.2">
      <c r="A28" s="56" t="s">
        <v>226</v>
      </c>
      <c r="B28" s="234" t="s">
        <v>227</v>
      </c>
      <c r="C28" s="150" t="s">
        <v>72</v>
      </c>
      <c r="D28" s="150" t="s">
        <v>39</v>
      </c>
      <c r="E28" s="159">
        <v>0.91666666666666663</v>
      </c>
      <c r="F28" s="173" t="s">
        <v>244</v>
      </c>
      <c r="G28" s="158">
        <v>0.25</v>
      </c>
      <c r="H28" s="11"/>
      <c r="I28" s="12"/>
      <c r="J28" s="164"/>
      <c r="K28" s="13"/>
      <c r="L28" s="153">
        <v>0.29166666666666669</v>
      </c>
      <c r="M28" s="166"/>
      <c r="N28" s="154">
        <v>0.66666666666666663</v>
      </c>
      <c r="O28" s="153">
        <v>0.29166666666666669</v>
      </c>
      <c r="P28" s="166"/>
      <c r="Q28" s="154">
        <v>0.66666666666666663</v>
      </c>
      <c r="R28" s="153">
        <v>0.29166666666666669</v>
      </c>
      <c r="S28" s="166"/>
      <c r="T28" s="154">
        <v>0.66666666666666663</v>
      </c>
      <c r="U28" s="153">
        <v>0.29166666666666669</v>
      </c>
      <c r="V28" s="166"/>
      <c r="W28" s="154">
        <v>0.66666666666666663</v>
      </c>
      <c r="X28" s="153">
        <v>0.29166666666666669</v>
      </c>
      <c r="Y28" s="166"/>
      <c r="Z28" s="154">
        <v>0.66666666666666663</v>
      </c>
      <c r="AA28" s="153"/>
      <c r="AB28" s="166"/>
      <c r="AC28" s="154"/>
      <c r="AD28" s="11"/>
      <c r="AE28" s="12"/>
      <c r="AF28" s="164"/>
      <c r="AG28" s="13"/>
      <c r="AH28" s="153">
        <v>0.29166666666666669</v>
      </c>
      <c r="AI28" s="166"/>
      <c r="AJ28" s="154">
        <v>0.66666666666666663</v>
      </c>
      <c r="AK28" s="153">
        <v>0.29166666666666669</v>
      </c>
      <c r="AL28" s="166"/>
      <c r="AM28" s="154">
        <v>0.66666666666666663</v>
      </c>
      <c r="AN28" s="153">
        <v>0.29166666666666669</v>
      </c>
      <c r="AO28" s="166"/>
      <c r="AP28" s="154">
        <v>0.66666666666666663</v>
      </c>
      <c r="AQ28" s="153">
        <v>0.29166666666666669</v>
      </c>
      <c r="AR28" s="166"/>
      <c r="AS28" s="154">
        <v>0.66666666666666663</v>
      </c>
      <c r="AT28" s="153">
        <v>0.29166666666666669</v>
      </c>
      <c r="AU28" s="166"/>
      <c r="AV28" s="154">
        <v>0.66666666666666663</v>
      </c>
      <c r="AW28" s="153"/>
      <c r="AX28" s="166"/>
      <c r="AY28" s="154"/>
      <c r="AZ28" s="11"/>
      <c r="BA28" s="12"/>
      <c r="BB28" s="164"/>
      <c r="BC28" s="13"/>
      <c r="BD28" s="321"/>
      <c r="BE28" s="321"/>
      <c r="BF28" s="321"/>
      <c r="BG28" s="321"/>
      <c r="BH28" s="321"/>
      <c r="BI28" s="321"/>
      <c r="BJ28" s="321"/>
      <c r="BK28" s="321"/>
      <c r="BL28" s="321"/>
      <c r="BM28" s="321"/>
      <c r="BN28" s="321"/>
      <c r="BO28" s="321"/>
      <c r="BP28" s="321"/>
      <c r="BQ28" s="321"/>
      <c r="BR28" s="321"/>
      <c r="BS28" s="321"/>
      <c r="BT28" s="321"/>
      <c r="BU28" s="321"/>
      <c r="BV28" s="321"/>
      <c r="BW28" s="321"/>
      <c r="BX28" s="321"/>
      <c r="BY28" s="321"/>
      <c r="BZ28" s="321"/>
      <c r="CA28" s="321"/>
      <c r="CB28" s="321"/>
      <c r="CC28" s="321"/>
      <c r="CD28" s="321"/>
    </row>
    <row r="29" spans="1:82" s="5" customFormat="1" x14ac:dyDescent="0.2">
      <c r="A29" s="56" t="s">
        <v>126</v>
      </c>
      <c r="B29" s="234" t="s">
        <v>182</v>
      </c>
      <c r="C29" s="150" t="s">
        <v>210</v>
      </c>
      <c r="D29" s="150" t="s">
        <v>30</v>
      </c>
      <c r="E29" s="152"/>
      <c r="F29" s="165"/>
      <c r="G29" s="151"/>
      <c r="H29" s="147"/>
      <c r="I29" s="152"/>
      <c r="J29" s="165"/>
      <c r="K29" s="151"/>
      <c r="L29" s="153">
        <v>0.375</v>
      </c>
      <c r="M29" s="166"/>
      <c r="N29" s="154">
        <v>0.75</v>
      </c>
      <c r="O29" s="153">
        <v>0.375</v>
      </c>
      <c r="P29" s="166"/>
      <c r="Q29" s="154">
        <v>0.75</v>
      </c>
      <c r="R29" s="153">
        <v>0.375</v>
      </c>
      <c r="S29" s="166"/>
      <c r="T29" s="154">
        <v>0.75</v>
      </c>
      <c r="U29" s="153">
        <v>0.375</v>
      </c>
      <c r="V29" s="166"/>
      <c r="W29" s="154">
        <v>0.75</v>
      </c>
      <c r="X29" s="153">
        <v>0.375</v>
      </c>
      <c r="Y29" s="166"/>
      <c r="Z29" s="154">
        <v>0.75</v>
      </c>
      <c r="AA29" s="152"/>
      <c r="AB29" s="165"/>
      <c r="AC29" s="151"/>
      <c r="AD29" s="147"/>
      <c r="AE29" s="152"/>
      <c r="AF29" s="165"/>
      <c r="AG29" s="151"/>
      <c r="AH29" s="153">
        <v>0.45833333333333331</v>
      </c>
      <c r="AI29" s="166"/>
      <c r="AJ29" s="154">
        <v>0.83333333333333337</v>
      </c>
      <c r="AK29" s="153">
        <v>0.45833333333333331</v>
      </c>
      <c r="AL29" s="166"/>
      <c r="AM29" s="154">
        <v>0.83333333333333337</v>
      </c>
      <c r="AN29" s="153">
        <v>0.375</v>
      </c>
      <c r="AO29" s="166"/>
      <c r="AP29" s="154">
        <v>0.75</v>
      </c>
      <c r="AQ29" s="153">
        <v>0.375</v>
      </c>
      <c r="AR29" s="166"/>
      <c r="AS29" s="154">
        <v>0.75</v>
      </c>
      <c r="AT29" s="153">
        <v>0.375</v>
      </c>
      <c r="AU29" s="166"/>
      <c r="AV29" s="154">
        <v>0.75</v>
      </c>
      <c r="AW29" s="152"/>
      <c r="AX29" s="165"/>
      <c r="AY29" s="151"/>
      <c r="AZ29" s="147"/>
      <c r="BA29" s="152"/>
      <c r="BB29" s="165"/>
      <c r="BC29" s="151"/>
      <c r="BD29" s="194"/>
      <c r="BE29" s="194"/>
      <c r="BF29" s="194"/>
      <c r="BG29" s="194"/>
      <c r="BH29" s="194"/>
      <c r="BI29" s="194"/>
      <c r="BJ29" s="194"/>
      <c r="BK29" s="194"/>
      <c r="BL29" s="194"/>
      <c r="BM29" s="194"/>
      <c r="BN29" s="194"/>
      <c r="BO29" s="194"/>
      <c r="BP29" s="194"/>
      <c r="BQ29" s="194"/>
      <c r="BR29" s="194"/>
      <c r="BS29" s="194"/>
      <c r="BT29" s="194"/>
      <c r="BU29" s="194"/>
      <c r="BV29" s="194"/>
      <c r="BW29" s="194"/>
      <c r="BX29" s="194"/>
      <c r="BY29" s="194"/>
      <c r="BZ29" s="194"/>
      <c r="CA29" s="194"/>
      <c r="CB29" s="194"/>
      <c r="CC29" s="194"/>
      <c r="CD29" s="194"/>
    </row>
    <row r="30" spans="1:82" s="5" customFormat="1" x14ac:dyDescent="0.2">
      <c r="A30" s="56" t="s">
        <v>271</v>
      </c>
      <c r="B30" s="234" t="s">
        <v>272</v>
      </c>
      <c r="C30" s="150" t="s">
        <v>220</v>
      </c>
      <c r="D30" s="150" t="s">
        <v>39</v>
      </c>
      <c r="E30" s="153"/>
      <c r="F30" s="166"/>
      <c r="G30" s="154"/>
      <c r="H30" s="147"/>
      <c r="I30" s="153"/>
      <c r="J30" s="166"/>
      <c r="K30" s="154"/>
      <c r="L30" s="153">
        <v>0.375</v>
      </c>
      <c r="M30" s="166"/>
      <c r="N30" s="154">
        <v>0.75</v>
      </c>
      <c r="O30" s="153">
        <v>0.375</v>
      </c>
      <c r="P30" s="166"/>
      <c r="Q30" s="154">
        <v>0.75</v>
      </c>
      <c r="R30" s="153">
        <v>0.375</v>
      </c>
      <c r="S30" s="166"/>
      <c r="T30" s="154">
        <v>0.75</v>
      </c>
      <c r="U30" s="153">
        <v>0.375</v>
      </c>
      <c r="V30" s="166"/>
      <c r="W30" s="154">
        <v>0.75</v>
      </c>
      <c r="X30" s="153">
        <v>0.375</v>
      </c>
      <c r="Y30" s="166"/>
      <c r="Z30" s="154">
        <v>0.75</v>
      </c>
      <c r="AA30" s="153"/>
      <c r="AB30" s="166"/>
      <c r="AC30" s="154"/>
      <c r="AD30" s="147"/>
      <c r="AE30" s="153"/>
      <c r="AF30" s="166"/>
      <c r="AG30" s="154"/>
      <c r="AH30" s="153">
        <v>0.375</v>
      </c>
      <c r="AI30" s="166"/>
      <c r="AJ30" s="154">
        <v>0.75</v>
      </c>
      <c r="AK30" s="153">
        <v>0.375</v>
      </c>
      <c r="AL30" s="166"/>
      <c r="AM30" s="154">
        <v>0.75</v>
      </c>
      <c r="AN30" s="153">
        <v>0.375</v>
      </c>
      <c r="AO30" s="166"/>
      <c r="AP30" s="154">
        <v>0.75</v>
      </c>
      <c r="AQ30" s="153">
        <v>0.375</v>
      </c>
      <c r="AR30" s="166"/>
      <c r="AS30" s="154">
        <v>0.75</v>
      </c>
      <c r="AT30" s="153">
        <v>0.375</v>
      </c>
      <c r="AU30" s="166"/>
      <c r="AV30" s="154">
        <v>0.75</v>
      </c>
      <c r="AW30" s="153"/>
      <c r="AX30" s="166"/>
      <c r="AY30" s="154"/>
      <c r="AZ30" s="147"/>
      <c r="BA30" s="153"/>
      <c r="BB30" s="166"/>
      <c r="BC30" s="154"/>
      <c r="BD30" s="345"/>
      <c r="BE30" s="345"/>
      <c r="BF30" s="345"/>
      <c r="BG30" s="345"/>
      <c r="BH30" s="345"/>
      <c r="BI30" s="345"/>
      <c r="BJ30" s="345"/>
      <c r="BK30" s="345"/>
      <c r="BL30" s="345"/>
      <c r="BM30" s="345"/>
      <c r="BN30" s="345"/>
      <c r="BO30" s="345"/>
      <c r="BP30" s="345"/>
      <c r="BQ30" s="345"/>
      <c r="BR30" s="345"/>
      <c r="BS30" s="345"/>
      <c r="BT30" s="345"/>
      <c r="BU30" s="345"/>
      <c r="BV30" s="345"/>
      <c r="BW30" s="345"/>
      <c r="BX30" s="345"/>
      <c r="BY30" s="345"/>
      <c r="BZ30" s="345"/>
      <c r="CA30" s="345"/>
      <c r="CB30" s="345"/>
      <c r="CC30" s="345"/>
      <c r="CD30" s="345"/>
    </row>
    <row r="31" spans="1:82" s="5" customFormat="1" ht="13.5" thickBot="1" x14ac:dyDescent="0.25">
      <c r="A31" s="56" t="s">
        <v>202</v>
      </c>
      <c r="B31" s="234" t="s">
        <v>203</v>
      </c>
      <c r="C31" s="150" t="s">
        <v>118</v>
      </c>
      <c r="D31" s="150" t="s">
        <v>31</v>
      </c>
      <c r="E31" s="153"/>
      <c r="F31" s="166"/>
      <c r="G31" s="154"/>
      <c r="H31" s="147"/>
      <c r="I31" s="153"/>
      <c r="J31" s="166"/>
      <c r="K31" s="154"/>
      <c r="L31" s="153">
        <v>0.375</v>
      </c>
      <c r="M31" s="166"/>
      <c r="N31" s="154">
        <v>0.75</v>
      </c>
      <c r="O31" s="153">
        <v>0.375</v>
      </c>
      <c r="P31" s="166"/>
      <c r="Q31" s="154">
        <v>0.75</v>
      </c>
      <c r="R31" s="153">
        <v>0.375</v>
      </c>
      <c r="S31" s="166"/>
      <c r="T31" s="154">
        <v>0.75</v>
      </c>
      <c r="U31" s="153">
        <v>0.375</v>
      </c>
      <c r="V31" s="166"/>
      <c r="W31" s="154">
        <v>0.75</v>
      </c>
      <c r="X31" s="153">
        <v>0.375</v>
      </c>
      <c r="Y31" s="166"/>
      <c r="Z31" s="154">
        <v>0.75</v>
      </c>
      <c r="AA31" s="57" t="s">
        <v>16</v>
      </c>
      <c r="AB31" s="175"/>
      <c r="AC31" s="58"/>
      <c r="AD31" s="147"/>
      <c r="AE31" s="159">
        <v>0.91666666666666663</v>
      </c>
      <c r="AF31" s="173" t="s">
        <v>244</v>
      </c>
      <c r="AG31" s="158">
        <v>0.25</v>
      </c>
      <c r="AH31" s="159">
        <v>0.91666666666666663</v>
      </c>
      <c r="AI31" s="173" t="s">
        <v>244</v>
      </c>
      <c r="AJ31" s="158">
        <v>0.25</v>
      </c>
      <c r="AK31" s="159">
        <v>0.91666666666666663</v>
      </c>
      <c r="AL31" s="173" t="s">
        <v>244</v>
      </c>
      <c r="AM31" s="158">
        <v>0.25</v>
      </c>
      <c r="AN31" s="159">
        <v>0.91666666666666663</v>
      </c>
      <c r="AO31" s="173" t="s">
        <v>244</v>
      </c>
      <c r="AP31" s="158">
        <v>0.25</v>
      </c>
      <c r="AQ31" s="159">
        <v>0.91666666666666663</v>
      </c>
      <c r="AR31" s="173" t="s">
        <v>244</v>
      </c>
      <c r="AS31" s="356">
        <v>0.25</v>
      </c>
      <c r="AT31" s="153" t="s">
        <v>7</v>
      </c>
      <c r="AU31" s="166"/>
      <c r="AV31" s="154"/>
      <c r="AW31" s="153"/>
      <c r="AX31" s="166"/>
      <c r="AY31" s="154"/>
      <c r="AZ31" s="147"/>
      <c r="BA31" s="153"/>
      <c r="BB31" s="166"/>
      <c r="BC31" s="154"/>
      <c r="BD31" s="299"/>
      <c r="BE31" s="299"/>
      <c r="BF31" s="299"/>
      <c r="BG31" s="299"/>
      <c r="BH31" s="299"/>
      <c r="BI31" s="299"/>
      <c r="BJ31" s="299"/>
      <c r="BK31" s="299"/>
      <c r="BL31" s="299"/>
      <c r="BM31" s="299"/>
      <c r="BN31" s="299"/>
      <c r="BO31" s="299"/>
      <c r="BP31" s="299"/>
      <c r="BQ31" s="299"/>
      <c r="BR31" s="299"/>
      <c r="BS31" s="299"/>
      <c r="BT31" s="299"/>
      <c r="BU31" s="299"/>
      <c r="BV31" s="299"/>
      <c r="BW31" s="299"/>
      <c r="BX31" s="299"/>
      <c r="BY31" s="299"/>
      <c r="BZ31" s="299"/>
      <c r="CA31" s="299"/>
      <c r="CB31" s="299"/>
      <c r="CC31" s="299"/>
      <c r="CD31" s="299"/>
    </row>
    <row r="32" spans="1:82" s="5" customFormat="1" ht="13.5" thickBot="1" x14ac:dyDescent="0.25">
      <c r="A32" s="56" t="s">
        <v>230</v>
      </c>
      <c r="B32" s="234" t="s">
        <v>231</v>
      </c>
      <c r="C32" s="150" t="s">
        <v>220</v>
      </c>
      <c r="D32" s="150" t="s">
        <v>39</v>
      </c>
      <c r="E32" s="153"/>
      <c r="F32" s="166"/>
      <c r="G32" s="154"/>
      <c r="H32" s="147"/>
      <c r="I32" s="134">
        <v>0.25</v>
      </c>
      <c r="J32" s="168" t="s">
        <v>244</v>
      </c>
      <c r="K32" s="352">
        <v>0.58333333333333337</v>
      </c>
      <c r="L32" s="153">
        <v>0.25</v>
      </c>
      <c r="M32" s="166"/>
      <c r="N32" s="154">
        <v>0.625</v>
      </c>
      <c r="O32" s="153">
        <v>0.25</v>
      </c>
      <c r="P32" s="147" t="s">
        <v>242</v>
      </c>
      <c r="Q32" s="154">
        <v>0.625</v>
      </c>
      <c r="R32" s="153">
        <v>0.25</v>
      </c>
      <c r="S32" s="166"/>
      <c r="T32" s="154">
        <v>0.625</v>
      </c>
      <c r="U32" s="153">
        <v>0.25</v>
      </c>
      <c r="V32" s="147" t="s">
        <v>242</v>
      </c>
      <c r="W32" s="154">
        <v>0.625</v>
      </c>
      <c r="X32" s="41" t="s">
        <v>82</v>
      </c>
      <c r="Y32" s="177"/>
      <c r="Z32" s="42"/>
      <c r="AA32" s="153"/>
      <c r="AB32" s="166"/>
      <c r="AC32" s="154"/>
      <c r="AD32" s="147"/>
      <c r="AE32" s="153"/>
      <c r="AF32" s="166"/>
      <c r="AG32" s="154"/>
      <c r="AH32" s="153">
        <v>0.25</v>
      </c>
      <c r="AI32" s="166"/>
      <c r="AJ32" s="154">
        <v>0.625</v>
      </c>
      <c r="AK32" s="153">
        <v>0.25</v>
      </c>
      <c r="AL32" s="166"/>
      <c r="AM32" s="154">
        <v>0.625</v>
      </c>
      <c r="AN32" s="153">
        <v>0.25</v>
      </c>
      <c r="AO32" s="166"/>
      <c r="AP32" s="154">
        <v>0.625</v>
      </c>
      <c r="AQ32" s="153">
        <v>0.25</v>
      </c>
      <c r="AR32" s="166" t="s">
        <v>125</v>
      </c>
      <c r="AS32" s="388">
        <v>0.625</v>
      </c>
      <c r="AT32" s="147">
        <v>0.25</v>
      </c>
      <c r="AU32" s="166" t="s">
        <v>125</v>
      </c>
      <c r="AV32" s="154">
        <v>0.625</v>
      </c>
      <c r="AW32" s="153"/>
      <c r="AX32" s="166"/>
      <c r="AY32" s="154"/>
      <c r="AZ32" s="147"/>
      <c r="BA32" s="348">
        <v>0.33333333333333331</v>
      </c>
      <c r="BB32" s="349"/>
      <c r="BC32" s="350">
        <v>0.83333333333333337</v>
      </c>
      <c r="BD32" s="322"/>
      <c r="BE32" s="322"/>
      <c r="BF32" s="322"/>
      <c r="BG32" s="322"/>
      <c r="BH32" s="322"/>
      <c r="BI32" s="322"/>
      <c r="BJ32" s="322"/>
      <c r="BK32" s="322"/>
      <c r="BL32" s="322"/>
      <c r="BM32" s="322"/>
      <c r="BN32" s="322"/>
      <c r="BO32" s="322"/>
      <c r="BP32" s="322"/>
      <c r="BQ32" s="322"/>
      <c r="BR32" s="322"/>
      <c r="BS32" s="322"/>
      <c r="BT32" s="322"/>
      <c r="BU32" s="322"/>
      <c r="BV32" s="322"/>
      <c r="BW32" s="322"/>
      <c r="BX32" s="322"/>
      <c r="BY32" s="322"/>
      <c r="BZ32" s="322"/>
      <c r="CA32" s="322"/>
      <c r="CB32" s="322"/>
      <c r="CC32" s="322"/>
      <c r="CD32" s="322"/>
    </row>
    <row r="33" spans="1:82" s="5" customFormat="1" ht="12" hidden="1" customHeight="1" x14ac:dyDescent="0.2">
      <c r="A33" s="20" t="s">
        <v>28</v>
      </c>
      <c r="B33" s="234" t="s">
        <v>183</v>
      </c>
      <c r="C33" s="15" t="s">
        <v>160</v>
      </c>
      <c r="D33" s="15" t="s">
        <v>164</v>
      </c>
      <c r="E33" s="152"/>
      <c r="F33" s="165"/>
      <c r="G33" s="151"/>
      <c r="H33" s="147"/>
      <c r="I33" s="152"/>
      <c r="J33" s="165"/>
      <c r="K33" s="151"/>
      <c r="L33" s="9">
        <v>0.33333333333333331</v>
      </c>
      <c r="M33" s="166"/>
      <c r="N33" s="10">
        <v>0.70833333333333337</v>
      </c>
      <c r="O33" s="9">
        <v>0.33333333333333331</v>
      </c>
      <c r="P33" s="166"/>
      <c r="Q33" s="10">
        <v>0.70833333333333337</v>
      </c>
      <c r="R33" s="9">
        <v>0.33333333333333331</v>
      </c>
      <c r="S33" s="166"/>
      <c r="T33" s="10">
        <v>0.70833333333333337</v>
      </c>
      <c r="U33" s="59" t="s">
        <v>7</v>
      </c>
      <c r="V33" s="176"/>
      <c r="W33" s="60"/>
      <c r="X33" s="59" t="s">
        <v>7</v>
      </c>
      <c r="Y33" s="176"/>
      <c r="Z33" s="60"/>
      <c r="AA33" s="152"/>
      <c r="AB33" s="165"/>
      <c r="AC33" s="151"/>
      <c r="AD33" s="147"/>
      <c r="AE33" s="152"/>
      <c r="AF33" s="165"/>
      <c r="AG33" s="151"/>
      <c r="AH33" s="9">
        <v>0.33333333333333331</v>
      </c>
      <c r="AI33" s="166"/>
      <c r="AJ33" s="10">
        <v>0.70833333333333337</v>
      </c>
      <c r="AK33" s="9">
        <v>0.33333333333333331</v>
      </c>
      <c r="AL33" s="166"/>
      <c r="AM33" s="10">
        <v>0.70833333333333337</v>
      </c>
      <c r="AN33" s="9">
        <v>0.33333333333333331</v>
      </c>
      <c r="AO33" s="166"/>
      <c r="AP33" s="10">
        <v>0.70833333333333337</v>
      </c>
      <c r="AQ33" s="9">
        <v>0.33333333333333331</v>
      </c>
      <c r="AR33" s="166"/>
      <c r="AS33" s="13">
        <v>0.70833333333333337</v>
      </c>
      <c r="AT33" s="9">
        <v>0.33333333333333331</v>
      </c>
      <c r="AU33" s="166"/>
      <c r="AV33" s="10">
        <v>0.70833333333333337</v>
      </c>
      <c r="AW33" s="152"/>
      <c r="AX33" s="165"/>
      <c r="AY33" s="151"/>
      <c r="AZ33" s="147"/>
      <c r="BA33" s="152"/>
      <c r="BB33" s="165"/>
      <c r="BC33" s="151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</row>
    <row r="34" spans="1:82" s="5" customFormat="1" ht="12" customHeight="1" x14ac:dyDescent="0.2">
      <c r="A34" s="20" t="s">
        <v>112</v>
      </c>
      <c r="B34" s="234" t="s">
        <v>184</v>
      </c>
      <c r="C34" s="15" t="s">
        <v>210</v>
      </c>
      <c r="D34" s="15" t="s">
        <v>31</v>
      </c>
      <c r="E34" s="153"/>
      <c r="F34" s="166"/>
      <c r="G34" s="154"/>
      <c r="H34" s="16"/>
      <c r="I34" s="311">
        <v>0.75</v>
      </c>
      <c r="J34" s="312" t="s">
        <v>244</v>
      </c>
      <c r="K34" s="313">
        <v>0.125</v>
      </c>
      <c r="L34" s="311">
        <v>0.75</v>
      </c>
      <c r="M34" s="312" t="s">
        <v>244</v>
      </c>
      <c r="N34" s="313">
        <v>0.125</v>
      </c>
      <c r="O34" s="311">
        <v>0.75</v>
      </c>
      <c r="P34" s="312" t="s">
        <v>244</v>
      </c>
      <c r="Q34" s="313">
        <v>0.125</v>
      </c>
      <c r="R34" s="311">
        <v>0.75</v>
      </c>
      <c r="S34" s="312" t="s">
        <v>244</v>
      </c>
      <c r="T34" s="313">
        <v>0.125</v>
      </c>
      <c r="U34" s="311">
        <v>0.75</v>
      </c>
      <c r="V34" s="312" t="s">
        <v>244</v>
      </c>
      <c r="W34" s="313">
        <v>0.125</v>
      </c>
      <c r="X34" s="153" t="s">
        <v>7</v>
      </c>
      <c r="Y34" s="166"/>
      <c r="Z34" s="154"/>
      <c r="AA34" s="153"/>
      <c r="AB34" s="166"/>
      <c r="AC34" s="154"/>
      <c r="AD34" s="16"/>
      <c r="AE34" s="311">
        <v>0.75</v>
      </c>
      <c r="AF34" s="312" t="s">
        <v>244</v>
      </c>
      <c r="AG34" s="313">
        <v>0.125</v>
      </c>
      <c r="AH34" s="311">
        <v>0.75</v>
      </c>
      <c r="AI34" s="312" t="s">
        <v>244</v>
      </c>
      <c r="AJ34" s="313">
        <v>0.125</v>
      </c>
      <c r="AK34" s="311">
        <v>0.75</v>
      </c>
      <c r="AL34" s="312" t="s">
        <v>244</v>
      </c>
      <c r="AM34" s="313">
        <v>0.125</v>
      </c>
      <c r="AN34" s="311">
        <v>0.75</v>
      </c>
      <c r="AO34" s="312" t="s">
        <v>244</v>
      </c>
      <c r="AP34" s="313">
        <v>0.125</v>
      </c>
      <c r="AQ34" s="311">
        <v>0.75</v>
      </c>
      <c r="AR34" s="312" t="s">
        <v>244</v>
      </c>
      <c r="AS34" s="313">
        <v>0.125</v>
      </c>
      <c r="AT34" s="153" t="s">
        <v>7</v>
      </c>
      <c r="AU34" s="166"/>
      <c r="AV34" s="154"/>
      <c r="AW34" s="153"/>
      <c r="AX34" s="166"/>
      <c r="AY34" s="154"/>
      <c r="AZ34" s="16"/>
      <c r="BA34" s="311">
        <v>0.75</v>
      </c>
      <c r="BB34" s="312" t="s">
        <v>244</v>
      </c>
      <c r="BC34" s="313">
        <v>0.125</v>
      </c>
      <c r="BD34" s="141"/>
      <c r="BE34" s="141"/>
      <c r="BF34" s="141"/>
      <c r="BG34" s="141"/>
      <c r="BH34" s="141"/>
      <c r="BI34" s="141"/>
      <c r="BJ34" s="141"/>
      <c r="BK34" s="141"/>
      <c r="BL34" s="141"/>
      <c r="BM34" s="141"/>
      <c r="BN34" s="141"/>
      <c r="BO34" s="141"/>
      <c r="BP34" s="141"/>
      <c r="BQ34" s="141"/>
      <c r="BR34" s="141"/>
      <c r="BS34" s="141"/>
      <c r="BT34" s="141"/>
      <c r="BU34" s="141"/>
      <c r="BV34" s="141"/>
      <c r="BW34" s="141"/>
      <c r="BX34" s="141"/>
      <c r="BY34" s="141"/>
      <c r="BZ34" s="141"/>
      <c r="CA34" s="141"/>
      <c r="CB34" s="141"/>
      <c r="CC34" s="141"/>
      <c r="CD34" s="141"/>
    </row>
    <row r="35" spans="1:82" s="5" customFormat="1" ht="13.5" thickBot="1" x14ac:dyDescent="0.25">
      <c r="A35" s="56" t="s">
        <v>233</v>
      </c>
      <c r="B35" s="234" t="s">
        <v>236</v>
      </c>
      <c r="C35" s="150" t="s">
        <v>210</v>
      </c>
      <c r="D35" s="150" t="s">
        <v>39</v>
      </c>
      <c r="E35" s="57" t="s">
        <v>16</v>
      </c>
      <c r="F35" s="175"/>
      <c r="G35" s="58"/>
      <c r="H35" s="147"/>
      <c r="I35" s="57" t="s">
        <v>16</v>
      </c>
      <c r="J35" s="175"/>
      <c r="K35" s="58"/>
      <c r="L35" s="153">
        <v>0.33333333333333331</v>
      </c>
      <c r="M35" s="166"/>
      <c r="N35" s="154">
        <v>0.70833333333333337</v>
      </c>
      <c r="O35" s="153">
        <v>0.33333333333333331</v>
      </c>
      <c r="P35" s="166"/>
      <c r="Q35" s="154">
        <v>0.70833333333333337</v>
      </c>
      <c r="R35" s="153">
        <v>0.33333333333333331</v>
      </c>
      <c r="S35" s="166"/>
      <c r="T35" s="154">
        <v>0.70833333333333337</v>
      </c>
      <c r="U35" s="153">
        <v>0.33333333333333331</v>
      </c>
      <c r="V35" s="166"/>
      <c r="W35" s="154">
        <v>0.70833333333333337</v>
      </c>
      <c r="X35" s="153">
        <v>0.33333333333333331</v>
      </c>
      <c r="Y35" s="166"/>
      <c r="Z35" s="154">
        <v>0.70833333333333337</v>
      </c>
      <c r="AA35" s="17"/>
      <c r="AB35" s="169"/>
      <c r="AC35" s="155"/>
      <c r="AD35" s="147"/>
      <c r="AE35" s="153"/>
      <c r="AF35" s="166"/>
      <c r="AG35" s="154"/>
      <c r="AH35" s="153">
        <v>0.33333333333333331</v>
      </c>
      <c r="AI35" s="166"/>
      <c r="AJ35" s="154">
        <v>0.70833333333333337</v>
      </c>
      <c r="AK35" s="153">
        <v>0.33333333333333331</v>
      </c>
      <c r="AL35" s="166"/>
      <c r="AM35" s="154">
        <v>0.70833333333333337</v>
      </c>
      <c r="AN35" s="59" t="s">
        <v>7</v>
      </c>
      <c r="AO35" s="166"/>
      <c r="AP35" s="154">
        <v>0.70833333333333337</v>
      </c>
      <c r="AQ35" s="153">
        <v>0.33333333333333331</v>
      </c>
      <c r="AR35" s="166"/>
      <c r="AS35" s="154">
        <v>0.70833333333333337</v>
      </c>
      <c r="AT35" s="153">
        <v>0.33333333333333331</v>
      </c>
      <c r="AU35" s="166"/>
      <c r="AV35" s="154">
        <v>0.70833333333333337</v>
      </c>
      <c r="AW35" s="17"/>
      <c r="AX35" s="169"/>
      <c r="AY35" s="155"/>
      <c r="AZ35" s="147"/>
      <c r="BA35" s="153"/>
      <c r="BB35" s="166"/>
      <c r="BC35" s="154"/>
      <c r="BD35" s="323"/>
      <c r="BE35" s="323"/>
      <c r="BF35" s="323"/>
      <c r="BG35" s="323"/>
      <c r="BH35" s="323"/>
      <c r="BI35" s="323"/>
      <c r="BJ35" s="323"/>
      <c r="BK35" s="323"/>
      <c r="BL35" s="323"/>
      <c r="BM35" s="323"/>
      <c r="BN35" s="323"/>
      <c r="BO35" s="323"/>
      <c r="BP35" s="323"/>
      <c r="BQ35" s="323"/>
      <c r="BR35" s="323"/>
      <c r="BS35" s="323"/>
      <c r="BT35" s="323"/>
      <c r="BU35" s="323"/>
      <c r="BV35" s="323"/>
      <c r="BW35" s="323"/>
      <c r="BX35" s="323"/>
      <c r="BY35" s="323"/>
      <c r="BZ35" s="323"/>
      <c r="CA35" s="323"/>
      <c r="CB35" s="323"/>
      <c r="CC35" s="323"/>
      <c r="CD35" s="323"/>
    </row>
    <row r="36" spans="1:82" s="5" customFormat="1" ht="13.5" thickBot="1" x14ac:dyDescent="0.25">
      <c r="A36" s="56" t="s">
        <v>279</v>
      </c>
      <c r="B36" s="234" t="s">
        <v>280</v>
      </c>
      <c r="C36" s="150" t="s">
        <v>72</v>
      </c>
      <c r="D36" s="150" t="s">
        <v>158</v>
      </c>
      <c r="E36" s="17"/>
      <c r="F36" s="169"/>
      <c r="G36" s="155"/>
      <c r="H36" s="147"/>
      <c r="I36" s="17"/>
      <c r="J36" s="169"/>
      <c r="K36" s="155"/>
      <c r="L36" s="147" t="s">
        <v>278</v>
      </c>
      <c r="M36" s="166"/>
      <c r="N36" s="154" t="s">
        <v>158</v>
      </c>
      <c r="O36" s="373" t="s">
        <v>278</v>
      </c>
      <c r="P36" s="374"/>
      <c r="Q36" s="375" t="s">
        <v>158</v>
      </c>
      <c r="R36" s="373" t="s">
        <v>278</v>
      </c>
      <c r="S36" s="374"/>
      <c r="T36" s="375" t="s">
        <v>158</v>
      </c>
      <c r="U36" s="147" t="s">
        <v>278</v>
      </c>
      <c r="V36" s="166"/>
      <c r="W36" s="154" t="s">
        <v>158</v>
      </c>
      <c r="X36" s="147" t="s">
        <v>278</v>
      </c>
      <c r="Y36" s="166"/>
      <c r="Z36" s="154" t="s">
        <v>158</v>
      </c>
      <c r="AA36" s="17"/>
      <c r="AB36" s="169"/>
      <c r="AC36" s="155"/>
      <c r="AD36" s="147"/>
      <c r="AE36" s="153"/>
      <c r="AF36" s="166"/>
      <c r="AG36" s="154"/>
      <c r="AH36" s="153" t="s">
        <v>286</v>
      </c>
      <c r="AI36" s="166"/>
      <c r="AJ36" s="388"/>
      <c r="AK36" s="153" t="s">
        <v>286</v>
      </c>
      <c r="AL36" s="166"/>
      <c r="AM36" s="154"/>
      <c r="AN36" s="17" t="s">
        <v>286</v>
      </c>
      <c r="AO36" s="166"/>
      <c r="AP36" s="154"/>
      <c r="AQ36" s="153" t="s">
        <v>286</v>
      </c>
      <c r="AR36" s="166"/>
      <c r="AS36" s="154"/>
      <c r="AT36" s="153" t="s">
        <v>286</v>
      </c>
      <c r="AU36" s="166"/>
      <c r="AV36" s="154"/>
      <c r="AW36" s="17"/>
      <c r="AX36" s="169"/>
      <c r="AY36" s="155"/>
      <c r="AZ36" s="147"/>
      <c r="BA36" s="153"/>
      <c r="BB36" s="166"/>
      <c r="BC36" s="154"/>
      <c r="BD36" s="363"/>
      <c r="BE36" s="363"/>
      <c r="BF36" s="363"/>
      <c r="BG36" s="363"/>
      <c r="BH36" s="363"/>
      <c r="BI36" s="363"/>
      <c r="BJ36" s="363"/>
      <c r="BK36" s="363"/>
      <c r="BL36" s="363"/>
      <c r="BM36" s="363"/>
      <c r="BN36" s="363"/>
      <c r="BO36" s="363"/>
      <c r="BP36" s="363"/>
      <c r="BQ36" s="363"/>
      <c r="BR36" s="363"/>
      <c r="BS36" s="363"/>
      <c r="BT36" s="363"/>
      <c r="BU36" s="363"/>
      <c r="BV36" s="363"/>
      <c r="BW36" s="363"/>
      <c r="BX36" s="363"/>
      <c r="BY36" s="363"/>
      <c r="BZ36" s="363"/>
      <c r="CA36" s="363"/>
      <c r="CB36" s="363"/>
      <c r="CC36" s="363"/>
      <c r="CD36" s="363"/>
    </row>
    <row r="37" spans="1:82" s="5" customFormat="1" ht="12" customHeight="1" x14ac:dyDescent="0.2">
      <c r="A37" s="56" t="s">
        <v>152</v>
      </c>
      <c r="B37" s="234" t="s">
        <v>185</v>
      </c>
      <c r="C37" s="150" t="s">
        <v>210</v>
      </c>
      <c r="D37" s="150" t="s">
        <v>31</v>
      </c>
      <c r="E37" s="153"/>
      <c r="F37" s="166"/>
      <c r="G37" s="154"/>
      <c r="H37" s="147"/>
      <c r="I37" s="153"/>
      <c r="J37" s="166"/>
      <c r="K37" s="154"/>
      <c r="L37" s="153">
        <v>0.25</v>
      </c>
      <c r="M37" s="166"/>
      <c r="N37" s="154">
        <v>0.625</v>
      </c>
      <c r="O37" s="153">
        <v>0.25</v>
      </c>
      <c r="P37" s="166"/>
      <c r="Q37" s="154">
        <v>0.625</v>
      </c>
      <c r="R37" s="153">
        <v>0.25</v>
      </c>
      <c r="S37" s="166"/>
      <c r="T37" s="154">
        <v>0.625</v>
      </c>
      <c r="U37" s="153">
        <v>0.25</v>
      </c>
      <c r="V37" s="166"/>
      <c r="W37" s="154">
        <v>0.625</v>
      </c>
      <c r="X37" s="153">
        <v>0.25</v>
      </c>
      <c r="Y37" s="166"/>
      <c r="Z37" s="154">
        <v>0.625</v>
      </c>
      <c r="AA37" s="153"/>
      <c r="AB37" s="166"/>
      <c r="AC37" s="154"/>
      <c r="AD37" s="147"/>
      <c r="AE37" s="348">
        <v>0.33333333333333331</v>
      </c>
      <c r="AF37" s="349"/>
      <c r="AG37" s="350">
        <v>0.83333333333333337</v>
      </c>
      <c r="AH37" s="153">
        <v>0.25</v>
      </c>
      <c r="AI37" s="166"/>
      <c r="AJ37" s="154">
        <v>0.625</v>
      </c>
      <c r="AK37" s="153">
        <v>0.25</v>
      </c>
      <c r="AL37" s="166"/>
      <c r="AM37" s="154">
        <v>0.625</v>
      </c>
      <c r="AN37" s="59" t="s">
        <v>7</v>
      </c>
      <c r="AO37" s="176"/>
      <c r="AP37" s="60"/>
      <c r="AQ37" s="153">
        <v>0.25</v>
      </c>
      <c r="AR37" s="166"/>
      <c r="AS37" s="154">
        <v>0.625</v>
      </c>
      <c r="AT37" s="153">
        <v>0.25</v>
      </c>
      <c r="AU37" s="166"/>
      <c r="AV37" s="154">
        <v>0.625</v>
      </c>
      <c r="AW37" s="153"/>
      <c r="AX37" s="166"/>
      <c r="AY37" s="154"/>
      <c r="AZ37" s="147"/>
      <c r="BA37" s="153"/>
      <c r="BB37" s="166"/>
      <c r="BC37" s="154"/>
      <c r="BD37" s="280"/>
      <c r="BE37" s="280"/>
      <c r="BF37" s="280"/>
      <c r="BG37" s="280"/>
      <c r="BH37" s="280"/>
      <c r="BI37" s="280"/>
      <c r="BJ37" s="280"/>
      <c r="BK37" s="280"/>
      <c r="BL37" s="280"/>
      <c r="BM37" s="280"/>
      <c r="BN37" s="280"/>
      <c r="BO37" s="280"/>
      <c r="BP37" s="280"/>
      <c r="BQ37" s="280"/>
      <c r="BR37" s="280"/>
      <c r="BS37" s="280"/>
      <c r="BT37" s="280"/>
      <c r="BU37" s="280"/>
      <c r="BV37" s="280"/>
      <c r="BW37" s="280"/>
      <c r="BX37" s="280"/>
      <c r="BY37" s="280"/>
      <c r="BZ37" s="280"/>
      <c r="CA37" s="280"/>
      <c r="CB37" s="280"/>
      <c r="CC37" s="280"/>
      <c r="CD37" s="280"/>
    </row>
    <row r="38" spans="1:82" s="5" customFormat="1" ht="12" customHeight="1" x14ac:dyDescent="0.2">
      <c r="A38" s="56" t="s">
        <v>229</v>
      </c>
      <c r="B38" s="234" t="s">
        <v>232</v>
      </c>
      <c r="C38" s="150" t="s">
        <v>210</v>
      </c>
      <c r="D38" s="150" t="s">
        <v>39</v>
      </c>
      <c r="E38" s="153"/>
      <c r="F38" s="166"/>
      <c r="G38" s="154"/>
      <c r="H38" s="147"/>
      <c r="I38" s="153"/>
      <c r="J38" s="166"/>
      <c r="K38" s="154"/>
      <c r="L38" s="153">
        <v>0.33333333333333331</v>
      </c>
      <c r="M38" s="166"/>
      <c r="N38" s="154">
        <v>0.70833333333333337</v>
      </c>
      <c r="O38" s="153">
        <v>0.33333333333333331</v>
      </c>
      <c r="P38" s="166"/>
      <c r="Q38" s="154">
        <v>0.70833333333333337</v>
      </c>
      <c r="R38" s="153">
        <v>0.33333333333333331</v>
      </c>
      <c r="S38" s="166"/>
      <c r="T38" s="154">
        <v>0.70833333333333337</v>
      </c>
      <c r="U38" s="153">
        <v>0.33333333333333331</v>
      </c>
      <c r="V38" s="166"/>
      <c r="W38" s="154">
        <v>0.70833333333333337</v>
      </c>
      <c r="X38" s="153">
        <v>0.33333333333333331</v>
      </c>
      <c r="Y38" s="166"/>
      <c r="Z38" s="154">
        <v>0.70833333333333337</v>
      </c>
      <c r="AA38" s="153"/>
      <c r="AB38" s="166"/>
      <c r="AC38" s="154"/>
      <c r="AD38" s="147"/>
      <c r="AE38" s="135">
        <v>0.375</v>
      </c>
      <c r="AF38" s="172" t="s">
        <v>125</v>
      </c>
      <c r="AG38" s="351">
        <v>0.70833333333333337</v>
      </c>
      <c r="AH38" s="153">
        <v>0.33333333333333331</v>
      </c>
      <c r="AI38" s="166"/>
      <c r="AJ38" s="154">
        <v>0.70833333333333337</v>
      </c>
      <c r="AK38" s="153">
        <v>0.33333333333333331</v>
      </c>
      <c r="AL38" s="166"/>
      <c r="AM38" s="154">
        <v>0.70833333333333337</v>
      </c>
      <c r="AN38" s="153">
        <v>0.33333333333333331</v>
      </c>
      <c r="AO38" s="166"/>
      <c r="AP38" s="154">
        <v>0.70833333333333337</v>
      </c>
      <c r="AQ38" s="41" t="s">
        <v>82</v>
      </c>
      <c r="AR38" s="177"/>
      <c r="AS38" s="42"/>
      <c r="AT38" s="153">
        <v>0.33333333333333331</v>
      </c>
      <c r="AU38" s="166"/>
      <c r="AV38" s="154">
        <v>0.70833333333333337</v>
      </c>
      <c r="AW38" s="153"/>
      <c r="AX38" s="166"/>
      <c r="AY38" s="154"/>
      <c r="AZ38" s="147"/>
      <c r="BA38" s="153"/>
      <c r="BB38" s="166"/>
      <c r="BC38" s="154"/>
      <c r="BD38" s="322"/>
      <c r="BE38" s="322"/>
      <c r="BF38" s="322"/>
      <c r="BG38" s="322"/>
      <c r="BH38" s="322"/>
      <c r="BI38" s="322"/>
      <c r="BJ38" s="322"/>
      <c r="BK38" s="322"/>
      <c r="BL38" s="322"/>
      <c r="BM38" s="322"/>
      <c r="BN38" s="322"/>
      <c r="BO38" s="322"/>
      <c r="BP38" s="322"/>
      <c r="BQ38" s="322"/>
      <c r="BR38" s="322"/>
      <c r="BS38" s="322"/>
      <c r="BT38" s="322"/>
      <c r="BU38" s="322"/>
      <c r="BV38" s="322"/>
      <c r="BW38" s="322"/>
      <c r="BX38" s="322"/>
      <c r="BY38" s="322"/>
      <c r="BZ38" s="322"/>
      <c r="CA38" s="322"/>
      <c r="CB38" s="322"/>
      <c r="CC38" s="322"/>
      <c r="CD38" s="322"/>
    </row>
    <row r="39" spans="1:82" s="5" customFormat="1" ht="12" customHeight="1" x14ac:dyDescent="0.2">
      <c r="A39" s="56" t="s">
        <v>161</v>
      </c>
      <c r="B39" s="234" t="s">
        <v>186</v>
      </c>
      <c r="C39" s="150" t="s">
        <v>118</v>
      </c>
      <c r="D39" s="150" t="s">
        <v>31</v>
      </c>
      <c r="E39" s="153"/>
      <c r="F39" s="166"/>
      <c r="G39" s="154"/>
      <c r="H39" s="147"/>
      <c r="I39" s="135">
        <v>0.375</v>
      </c>
      <c r="J39" s="172" t="s">
        <v>125</v>
      </c>
      <c r="K39" s="351">
        <v>0.70833333333333337</v>
      </c>
      <c r="L39" s="153">
        <v>0.25</v>
      </c>
      <c r="M39" s="147" t="s">
        <v>242</v>
      </c>
      <c r="N39" s="154">
        <v>0.625</v>
      </c>
      <c r="O39" s="153">
        <v>0.25</v>
      </c>
      <c r="P39" s="147" t="s">
        <v>242</v>
      </c>
      <c r="Q39" s="154">
        <v>0.625</v>
      </c>
      <c r="R39" s="153">
        <v>0.25</v>
      </c>
      <c r="S39" s="147" t="s">
        <v>242</v>
      </c>
      <c r="T39" s="154">
        <v>0.625</v>
      </c>
      <c r="U39" s="41" t="s">
        <v>82</v>
      </c>
      <c r="V39" s="177"/>
      <c r="W39" s="42"/>
      <c r="X39" s="153">
        <v>0.25</v>
      </c>
      <c r="Y39" s="147" t="s">
        <v>242</v>
      </c>
      <c r="Z39" s="154">
        <v>0.625</v>
      </c>
      <c r="AA39" s="153"/>
      <c r="AB39" s="166"/>
      <c r="AC39" s="154"/>
      <c r="AD39" s="147"/>
      <c r="AE39" s="153"/>
      <c r="AF39" s="166"/>
      <c r="AG39" s="154"/>
      <c r="AH39" s="153">
        <v>0.25</v>
      </c>
      <c r="AI39" s="147" t="s">
        <v>242</v>
      </c>
      <c r="AJ39" s="154">
        <v>0.625</v>
      </c>
      <c r="AK39" s="153">
        <v>0.25</v>
      </c>
      <c r="AL39" s="147" t="s">
        <v>242</v>
      </c>
      <c r="AM39" s="154">
        <v>0.625</v>
      </c>
      <c r="AN39" s="153">
        <v>0.25</v>
      </c>
      <c r="AO39" s="147" t="s">
        <v>242</v>
      </c>
      <c r="AP39" s="154">
        <v>0.625</v>
      </c>
      <c r="AQ39" s="153">
        <v>0.25</v>
      </c>
      <c r="AR39" s="147" t="s">
        <v>242</v>
      </c>
      <c r="AS39" s="154">
        <v>0.625</v>
      </c>
      <c r="AT39" s="153">
        <v>0.25</v>
      </c>
      <c r="AU39" s="147" t="s">
        <v>242</v>
      </c>
      <c r="AV39" s="154">
        <v>0.625</v>
      </c>
      <c r="AW39" s="153"/>
      <c r="AX39" s="166"/>
      <c r="AY39" s="154"/>
      <c r="AZ39" s="147"/>
      <c r="BA39" s="153"/>
      <c r="BB39" s="166"/>
      <c r="BC39" s="154"/>
      <c r="BD39" s="292"/>
      <c r="BE39" s="292"/>
      <c r="BF39" s="292"/>
      <c r="BG39" s="292"/>
      <c r="BH39" s="292"/>
      <c r="BI39" s="292"/>
      <c r="BJ39" s="292"/>
      <c r="BK39" s="292"/>
      <c r="BL39" s="292"/>
      <c r="BM39" s="292"/>
      <c r="BN39" s="292"/>
      <c r="BO39" s="292"/>
      <c r="BP39" s="292"/>
      <c r="BQ39" s="292"/>
      <c r="BR39" s="292"/>
      <c r="BS39" s="292"/>
      <c r="BT39" s="292"/>
      <c r="BU39" s="292"/>
      <c r="BV39" s="292"/>
      <c r="BW39" s="292"/>
      <c r="BX39" s="292"/>
      <c r="BY39" s="292"/>
      <c r="BZ39" s="292"/>
      <c r="CA39" s="292"/>
      <c r="CB39" s="292"/>
      <c r="CC39" s="292"/>
      <c r="CD39" s="292"/>
    </row>
    <row r="40" spans="1:82" s="5" customFormat="1" ht="12" customHeight="1" x14ac:dyDescent="0.2">
      <c r="A40" s="56" t="s">
        <v>224</v>
      </c>
      <c r="B40" s="234" t="s">
        <v>228</v>
      </c>
      <c r="C40" s="150" t="s">
        <v>118</v>
      </c>
      <c r="D40" s="150" t="s">
        <v>39</v>
      </c>
      <c r="E40" s="153"/>
      <c r="F40" s="166"/>
      <c r="G40" s="154"/>
      <c r="H40" s="147"/>
      <c r="I40" s="153"/>
      <c r="J40" s="166"/>
      <c r="K40" s="154"/>
      <c r="L40" s="153">
        <v>0.25</v>
      </c>
      <c r="M40" s="166"/>
      <c r="N40" s="154">
        <v>0.625</v>
      </c>
      <c r="O40" s="153">
        <v>0.25</v>
      </c>
      <c r="P40" s="166"/>
      <c r="Q40" s="154">
        <v>0.625</v>
      </c>
      <c r="R40" s="153">
        <v>0.25</v>
      </c>
      <c r="S40" s="166"/>
      <c r="T40" s="154">
        <v>0.625</v>
      </c>
      <c r="U40" s="153">
        <v>0.25</v>
      </c>
      <c r="V40" s="166"/>
      <c r="W40" s="154">
        <v>0.625</v>
      </c>
      <c r="X40" s="153">
        <v>0.25</v>
      </c>
      <c r="Y40" s="166"/>
      <c r="Z40" s="154">
        <v>0.625</v>
      </c>
      <c r="AA40" s="153"/>
      <c r="AB40" s="166"/>
      <c r="AC40" s="154"/>
      <c r="AD40" s="147"/>
      <c r="AE40" s="153"/>
      <c r="AF40" s="166"/>
      <c r="AG40" s="154"/>
      <c r="AH40" s="153">
        <v>0.25</v>
      </c>
      <c r="AI40" s="166"/>
      <c r="AJ40" s="154">
        <v>0.625</v>
      </c>
      <c r="AK40" s="153">
        <v>0.25</v>
      </c>
      <c r="AL40" s="166"/>
      <c r="AM40" s="154">
        <v>0.625</v>
      </c>
      <c r="AN40" s="153">
        <v>0.25</v>
      </c>
      <c r="AO40" s="166"/>
      <c r="AP40" s="154">
        <v>0.625</v>
      </c>
      <c r="AQ40" s="153">
        <v>0.25</v>
      </c>
      <c r="AR40" s="166"/>
      <c r="AS40" s="154">
        <v>0.625</v>
      </c>
      <c r="AT40" s="153">
        <v>0.25</v>
      </c>
      <c r="AU40" s="166"/>
      <c r="AV40" s="154">
        <v>0.625</v>
      </c>
      <c r="AW40" s="153"/>
      <c r="AX40" s="166"/>
      <c r="AY40" s="154"/>
      <c r="AZ40" s="147"/>
      <c r="BA40" s="153"/>
      <c r="BB40" s="166"/>
      <c r="BC40" s="154"/>
      <c r="BD40" s="320"/>
      <c r="BE40" s="320"/>
      <c r="BF40" s="320"/>
      <c r="BG40" s="320"/>
      <c r="BH40" s="320"/>
      <c r="BI40" s="320"/>
      <c r="BJ40" s="320"/>
      <c r="BK40" s="320"/>
      <c r="BL40" s="320"/>
      <c r="BM40" s="320"/>
      <c r="BN40" s="320"/>
      <c r="BO40" s="320"/>
      <c r="BP40" s="320"/>
      <c r="BQ40" s="320"/>
      <c r="BR40" s="320"/>
      <c r="BS40" s="320"/>
      <c r="BT40" s="320"/>
      <c r="BU40" s="320"/>
      <c r="BV40" s="320"/>
      <c r="BW40" s="320"/>
      <c r="BX40" s="320"/>
      <c r="BY40" s="320"/>
      <c r="BZ40" s="320"/>
      <c r="CA40" s="320"/>
      <c r="CB40" s="320"/>
      <c r="CC40" s="320"/>
      <c r="CD40" s="320"/>
    </row>
    <row r="41" spans="1:82" s="5" customFormat="1" ht="12" customHeight="1" x14ac:dyDescent="0.2">
      <c r="A41" s="56" t="s">
        <v>154</v>
      </c>
      <c r="B41" s="234" t="s">
        <v>187</v>
      </c>
      <c r="C41" s="150" t="s">
        <v>220</v>
      </c>
      <c r="D41" s="150" t="s">
        <v>39</v>
      </c>
      <c r="E41" s="153"/>
      <c r="F41" s="166"/>
      <c r="G41" s="154"/>
      <c r="H41" s="147"/>
      <c r="I41" s="153"/>
      <c r="J41" s="166"/>
      <c r="K41" s="154"/>
      <c r="L41" s="153">
        <v>0.33333333333333331</v>
      </c>
      <c r="M41" s="166"/>
      <c r="N41" s="154">
        <v>0.70833333333333337</v>
      </c>
      <c r="O41" s="153">
        <v>0.33333333333333331</v>
      </c>
      <c r="P41" s="166"/>
      <c r="Q41" s="154">
        <v>0.70833333333333337</v>
      </c>
      <c r="R41" s="41" t="s">
        <v>82</v>
      </c>
      <c r="S41" s="177"/>
      <c r="T41" s="42"/>
      <c r="U41" s="153">
        <v>0.33333333333333331</v>
      </c>
      <c r="V41" s="166"/>
      <c r="W41" s="154">
        <v>0.70833333333333337</v>
      </c>
      <c r="X41" s="153">
        <v>0.33333333333333331</v>
      </c>
      <c r="Y41" s="166"/>
      <c r="Z41" s="154">
        <v>0.70833333333333337</v>
      </c>
      <c r="AA41" s="135">
        <v>0.33333333333333331</v>
      </c>
      <c r="AB41" s="172" t="s">
        <v>125</v>
      </c>
      <c r="AC41" s="351">
        <v>0.66666666666666663</v>
      </c>
      <c r="AD41" s="147"/>
      <c r="AE41" s="153"/>
      <c r="AF41" s="166"/>
      <c r="AG41" s="154"/>
      <c r="AH41" s="153">
        <v>0.33333333333333331</v>
      </c>
      <c r="AI41" s="166"/>
      <c r="AJ41" s="154">
        <v>0.70833333333333337</v>
      </c>
      <c r="AK41" s="153">
        <v>0.375</v>
      </c>
      <c r="AL41" s="166"/>
      <c r="AM41" s="154">
        <v>0.75</v>
      </c>
      <c r="AN41" s="153">
        <v>0.33333333333333331</v>
      </c>
      <c r="AO41" s="166"/>
      <c r="AP41" s="154">
        <v>0.70833333333333337</v>
      </c>
      <c r="AQ41" s="153">
        <v>0.375</v>
      </c>
      <c r="AR41" s="166"/>
      <c r="AS41" s="154">
        <v>0.75</v>
      </c>
      <c r="AT41" s="153">
        <v>0.375</v>
      </c>
      <c r="AU41" s="166"/>
      <c r="AV41" s="154">
        <v>0.75</v>
      </c>
      <c r="AW41" s="153"/>
      <c r="AX41" s="166"/>
      <c r="AY41" s="154"/>
      <c r="AZ41" s="147"/>
      <c r="BA41" s="153"/>
      <c r="BB41" s="166"/>
      <c r="BC41" s="154"/>
      <c r="BD41" s="282"/>
      <c r="BE41" s="282"/>
      <c r="BF41" s="282"/>
      <c r="BG41" s="282"/>
      <c r="BH41" s="282"/>
      <c r="BI41" s="282"/>
      <c r="BJ41" s="282"/>
      <c r="BK41" s="282"/>
      <c r="BL41" s="282"/>
      <c r="BM41" s="282"/>
      <c r="BN41" s="282"/>
      <c r="BO41" s="282"/>
      <c r="BP41" s="282"/>
      <c r="BQ41" s="282"/>
      <c r="BR41" s="282"/>
      <c r="BS41" s="282"/>
      <c r="BT41" s="282"/>
      <c r="BU41" s="282"/>
      <c r="BV41" s="282"/>
      <c r="BW41" s="282"/>
      <c r="BX41" s="282"/>
      <c r="BY41" s="282"/>
      <c r="BZ41" s="282"/>
      <c r="CA41" s="282"/>
      <c r="CB41" s="282"/>
      <c r="CC41" s="282"/>
      <c r="CD41" s="282"/>
    </row>
    <row r="42" spans="1:82" s="5" customFormat="1" ht="12" customHeight="1" x14ac:dyDescent="0.2">
      <c r="A42" s="56" t="s">
        <v>115</v>
      </c>
      <c r="B42" s="234" t="s">
        <v>188</v>
      </c>
      <c r="C42" s="15" t="s">
        <v>72</v>
      </c>
      <c r="D42" s="15" t="s">
        <v>31</v>
      </c>
      <c r="E42" s="134">
        <v>0.25</v>
      </c>
      <c r="F42" s="168" t="s">
        <v>244</v>
      </c>
      <c r="G42" s="352">
        <v>0.58333333333333337</v>
      </c>
      <c r="H42" s="16"/>
      <c r="I42" s="9"/>
      <c r="J42" s="166"/>
      <c r="K42" s="16"/>
      <c r="L42" s="153">
        <v>0.25</v>
      </c>
      <c r="M42" s="166" t="s">
        <v>125</v>
      </c>
      <c r="N42" s="154">
        <v>0.625</v>
      </c>
      <c r="O42" s="153">
        <v>0.25</v>
      </c>
      <c r="P42" s="166" t="s">
        <v>125</v>
      </c>
      <c r="Q42" s="154">
        <v>0.625</v>
      </c>
      <c r="R42" s="153">
        <v>0.25</v>
      </c>
      <c r="S42" s="166" t="s">
        <v>125</v>
      </c>
      <c r="T42" s="154">
        <v>0.625</v>
      </c>
      <c r="U42" s="153">
        <v>0.25</v>
      </c>
      <c r="V42" s="166" t="s">
        <v>125</v>
      </c>
      <c r="W42" s="154">
        <v>0.625</v>
      </c>
      <c r="X42" s="153">
        <v>0.25</v>
      </c>
      <c r="Y42" s="166" t="s">
        <v>125</v>
      </c>
      <c r="Z42" s="154">
        <v>0.625</v>
      </c>
      <c r="AA42" s="153"/>
      <c r="AB42" s="166"/>
      <c r="AC42" s="154"/>
      <c r="AD42" s="16"/>
      <c r="AE42" s="134">
        <v>0.25</v>
      </c>
      <c r="AF42" s="168" t="s">
        <v>244</v>
      </c>
      <c r="AG42" s="352">
        <v>0.58333333333333337</v>
      </c>
      <c r="AH42" s="153">
        <v>0.25</v>
      </c>
      <c r="AI42" s="166" t="s">
        <v>125</v>
      </c>
      <c r="AJ42" s="154">
        <v>0.625</v>
      </c>
      <c r="AK42" s="153">
        <v>0.25</v>
      </c>
      <c r="AL42" s="166" t="s">
        <v>125</v>
      </c>
      <c r="AM42" s="154">
        <v>0.625</v>
      </c>
      <c r="AN42" s="153">
        <v>0.25</v>
      </c>
      <c r="AO42" s="166" t="s">
        <v>125</v>
      </c>
      <c r="AP42" s="154">
        <v>0.625</v>
      </c>
      <c r="AQ42" s="153">
        <v>0.25</v>
      </c>
      <c r="AR42" s="166" t="s">
        <v>125</v>
      </c>
      <c r="AS42" s="154">
        <v>0.625</v>
      </c>
      <c r="AT42" s="41" t="s">
        <v>82</v>
      </c>
      <c r="AU42" s="177"/>
      <c r="AV42" s="42"/>
      <c r="AW42" s="153"/>
      <c r="AX42" s="166"/>
      <c r="AY42" s="154"/>
      <c r="AZ42" s="16"/>
      <c r="BA42" s="9"/>
      <c r="BB42" s="166"/>
      <c r="BC42" s="10"/>
      <c r="BD42" s="142"/>
      <c r="BE42" s="142"/>
      <c r="BF42" s="142"/>
      <c r="BG42" s="142"/>
      <c r="BH42" s="142"/>
      <c r="BI42" s="142"/>
      <c r="BJ42" s="142"/>
      <c r="BK42" s="142"/>
      <c r="BL42" s="142"/>
      <c r="BM42" s="142"/>
      <c r="BN42" s="142"/>
      <c r="BO42" s="142"/>
      <c r="BP42" s="142"/>
      <c r="BQ42" s="142"/>
      <c r="BR42" s="142"/>
      <c r="BS42" s="142"/>
      <c r="BT42" s="142"/>
      <c r="BU42" s="142"/>
      <c r="BV42" s="142"/>
      <c r="BW42" s="142"/>
      <c r="BX42" s="142"/>
      <c r="BY42" s="142"/>
      <c r="BZ42" s="142"/>
      <c r="CA42" s="142"/>
      <c r="CB42" s="142"/>
      <c r="CC42" s="142"/>
      <c r="CD42" s="142"/>
    </row>
    <row r="43" spans="1:82" s="5" customFormat="1" hidden="1" x14ac:dyDescent="0.2">
      <c r="A43" s="56" t="s">
        <v>83</v>
      </c>
      <c r="B43" s="234" t="s">
        <v>189</v>
      </c>
      <c r="C43" s="150" t="s">
        <v>160</v>
      </c>
      <c r="D43" s="150" t="s">
        <v>164</v>
      </c>
      <c r="E43" s="152"/>
      <c r="F43" s="165"/>
      <c r="G43" s="151"/>
      <c r="H43" s="11"/>
      <c r="I43" s="152"/>
      <c r="J43" s="165"/>
      <c r="K43" s="151"/>
      <c r="L43" s="153">
        <v>0.33333333333333331</v>
      </c>
      <c r="M43" s="166"/>
      <c r="N43" s="154">
        <v>0.70833333333333337</v>
      </c>
      <c r="O43" s="153">
        <v>0.33333333333333331</v>
      </c>
      <c r="P43" s="166"/>
      <c r="Q43" s="154">
        <v>0.70833333333333337</v>
      </c>
      <c r="R43" s="153">
        <v>0.33333333333333331</v>
      </c>
      <c r="S43" s="166"/>
      <c r="T43" s="154">
        <v>0.70833333333333337</v>
      </c>
      <c r="U43" s="153">
        <v>0.33333333333333331</v>
      </c>
      <c r="V43" s="166"/>
      <c r="W43" s="154">
        <v>0.70833333333333337</v>
      </c>
      <c r="X43" s="153">
        <v>0.33333333333333331</v>
      </c>
      <c r="Y43" s="166"/>
      <c r="Z43" s="154">
        <v>0.70833333333333337</v>
      </c>
      <c r="AA43" s="152"/>
      <c r="AB43" s="165"/>
      <c r="AC43" s="151"/>
      <c r="AD43" s="11"/>
      <c r="AE43" s="152"/>
      <c r="AF43" s="165"/>
      <c r="AG43" s="151"/>
      <c r="AH43" s="153">
        <v>0.33333333333333331</v>
      </c>
      <c r="AI43" s="166"/>
      <c r="AJ43" s="154">
        <v>0.70833333333333337</v>
      </c>
      <c r="AK43" s="153">
        <v>0.33333333333333331</v>
      </c>
      <c r="AL43" s="166"/>
      <c r="AM43" s="154">
        <v>0.70833333333333337</v>
      </c>
      <c r="AN43" s="153">
        <v>0.33333333333333331</v>
      </c>
      <c r="AO43" s="166"/>
      <c r="AP43" s="154">
        <v>0.70833333333333337</v>
      </c>
      <c r="AQ43" s="153">
        <v>0.33333333333333331</v>
      </c>
      <c r="AR43" s="166"/>
      <c r="AS43" s="154">
        <v>0.70833333333333337</v>
      </c>
      <c r="AT43" s="357">
        <v>0.33333333333333331</v>
      </c>
      <c r="AU43" s="358"/>
      <c r="AV43" s="359">
        <v>0.70833333333333337</v>
      </c>
      <c r="AW43" s="152"/>
      <c r="AX43" s="165"/>
      <c r="AY43" s="151"/>
      <c r="AZ43" s="11"/>
      <c r="BA43" s="152"/>
      <c r="BB43" s="165"/>
      <c r="BC43" s="151"/>
      <c r="BD43" s="236"/>
      <c r="BE43" s="236"/>
      <c r="BF43" s="236"/>
      <c r="BG43" s="236"/>
      <c r="BH43" s="236"/>
      <c r="BI43" s="236"/>
      <c r="BJ43" s="236"/>
      <c r="BK43" s="236"/>
      <c r="BL43" s="236"/>
      <c r="BM43" s="236"/>
      <c r="BN43" s="236"/>
      <c r="BO43" s="236"/>
      <c r="BP43" s="236"/>
      <c r="BQ43" s="236"/>
      <c r="BR43" s="236"/>
      <c r="BS43" s="236"/>
      <c r="BT43" s="236"/>
      <c r="BU43" s="236"/>
      <c r="BV43" s="236"/>
      <c r="BW43" s="236"/>
      <c r="BX43" s="236"/>
      <c r="BY43" s="236"/>
      <c r="BZ43" s="236"/>
      <c r="CA43" s="236"/>
      <c r="CB43" s="236"/>
      <c r="CC43" s="236"/>
      <c r="CD43" s="236"/>
    </row>
    <row r="44" spans="1:82" s="5" customFormat="1" x14ac:dyDescent="0.2">
      <c r="A44" s="56" t="s">
        <v>97</v>
      </c>
      <c r="B44" s="234" t="s">
        <v>190</v>
      </c>
      <c r="C44" s="150" t="s">
        <v>210</v>
      </c>
      <c r="D44" s="15" t="s">
        <v>30</v>
      </c>
      <c r="E44" s="152"/>
      <c r="F44" s="165"/>
      <c r="G44" s="151"/>
      <c r="H44" s="147"/>
      <c r="I44" s="152"/>
      <c r="J44" s="165"/>
      <c r="K44" s="151"/>
      <c r="L44" s="59" t="s">
        <v>7</v>
      </c>
      <c r="M44" s="176"/>
      <c r="N44" s="60"/>
      <c r="O44" s="59" t="s">
        <v>7</v>
      </c>
      <c r="P44" s="176"/>
      <c r="Q44" s="60"/>
      <c r="R44" s="153">
        <v>0.29166666666666669</v>
      </c>
      <c r="S44" s="166"/>
      <c r="T44" s="154">
        <v>0.66666666666666663</v>
      </c>
      <c r="U44" s="153">
        <v>0.29166666666666669</v>
      </c>
      <c r="V44" s="166"/>
      <c r="W44" s="154">
        <v>0.66666666666666663</v>
      </c>
      <c r="X44" s="153">
        <v>0.29166666666666669</v>
      </c>
      <c r="Y44" s="166"/>
      <c r="Z44" s="154">
        <v>0.66666666666666663</v>
      </c>
      <c r="AA44" s="152"/>
      <c r="AB44" s="165"/>
      <c r="AC44" s="151"/>
      <c r="AD44" s="11"/>
      <c r="AE44" s="152"/>
      <c r="AF44" s="165"/>
      <c r="AG44" s="151"/>
      <c r="AH44" s="153">
        <v>0.29166666666666669</v>
      </c>
      <c r="AI44" s="166"/>
      <c r="AJ44" s="154">
        <v>0.66666666666666663</v>
      </c>
      <c r="AK44" s="153">
        <v>0.29166666666666669</v>
      </c>
      <c r="AL44" s="166"/>
      <c r="AM44" s="154">
        <v>0.66666666666666663</v>
      </c>
      <c r="AN44" s="17">
        <v>0.29166666666666669</v>
      </c>
      <c r="AO44" s="166"/>
      <c r="AP44" s="366" t="s">
        <v>7</v>
      </c>
      <c r="AQ44" s="12">
        <v>0.25</v>
      </c>
      <c r="AR44" s="166" t="s">
        <v>125</v>
      </c>
      <c r="AS44" s="13">
        <v>0.625</v>
      </c>
      <c r="AT44" s="59" t="s">
        <v>7</v>
      </c>
      <c r="AU44" s="176"/>
      <c r="AV44" s="353"/>
      <c r="AW44" s="152"/>
      <c r="AX44" s="165"/>
      <c r="AY44" s="151"/>
      <c r="AZ44" s="147"/>
      <c r="BA44" s="152"/>
      <c r="BB44" s="165"/>
      <c r="BC44" s="151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</row>
    <row r="45" spans="1:82" s="5" customFormat="1" x14ac:dyDescent="0.2">
      <c r="A45" s="56" t="s">
        <v>87</v>
      </c>
      <c r="B45" s="234" t="s">
        <v>191</v>
      </c>
      <c r="C45" s="15" t="s">
        <v>118</v>
      </c>
      <c r="D45" s="15" t="s">
        <v>31</v>
      </c>
      <c r="E45" s="59" t="s">
        <v>7</v>
      </c>
      <c r="F45" s="176"/>
      <c r="G45" s="60"/>
      <c r="H45" s="147"/>
      <c r="I45" s="59" t="s">
        <v>7</v>
      </c>
      <c r="J45" s="176"/>
      <c r="K45" s="60"/>
      <c r="L45" s="9" t="s">
        <v>7</v>
      </c>
      <c r="M45" s="166"/>
      <c r="N45" s="10"/>
      <c r="O45" s="9" t="s">
        <v>7</v>
      </c>
      <c r="P45" s="166"/>
      <c r="Q45" s="10"/>
      <c r="R45" s="9" t="s">
        <v>7</v>
      </c>
      <c r="S45" s="166"/>
      <c r="T45" s="10"/>
      <c r="U45" s="9" t="s">
        <v>7</v>
      </c>
      <c r="V45" s="166"/>
      <c r="W45" s="10"/>
      <c r="X45" s="22" t="s">
        <v>89</v>
      </c>
      <c r="Y45" s="167" t="s">
        <v>244</v>
      </c>
      <c r="Z45" s="18" t="s">
        <v>86</v>
      </c>
      <c r="AA45" s="161" t="s">
        <v>89</v>
      </c>
      <c r="AB45" s="167" t="s">
        <v>244</v>
      </c>
      <c r="AC45" s="158" t="s">
        <v>86</v>
      </c>
      <c r="AD45" s="16"/>
      <c r="AE45" s="161" t="s">
        <v>89</v>
      </c>
      <c r="AF45" s="167" t="s">
        <v>244</v>
      </c>
      <c r="AG45" s="158" t="s">
        <v>86</v>
      </c>
      <c r="AH45" s="9" t="s">
        <v>7</v>
      </c>
      <c r="AI45" s="166"/>
      <c r="AJ45" s="10"/>
      <c r="AK45" s="9" t="s">
        <v>7</v>
      </c>
      <c r="AL45" s="166"/>
      <c r="AM45" s="10"/>
      <c r="AN45" s="9" t="s">
        <v>7</v>
      </c>
      <c r="AO45" s="166"/>
      <c r="AP45" s="10"/>
      <c r="AQ45" s="9" t="s">
        <v>7</v>
      </c>
      <c r="AR45" s="166"/>
      <c r="AS45" s="10"/>
      <c r="AT45" s="360" t="s">
        <v>292</v>
      </c>
      <c r="AU45" s="361" t="s">
        <v>244</v>
      </c>
      <c r="AV45" s="362" t="s">
        <v>86</v>
      </c>
      <c r="AW45" s="161" t="s">
        <v>89</v>
      </c>
      <c r="AX45" s="167" t="s">
        <v>244</v>
      </c>
      <c r="AY45" s="158" t="s">
        <v>86</v>
      </c>
      <c r="AZ45" s="147"/>
      <c r="BA45" s="161">
        <v>0.58333333333333337</v>
      </c>
      <c r="BB45" s="167" t="s">
        <v>244</v>
      </c>
      <c r="BC45" s="160">
        <v>0.91666666666666663</v>
      </c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</row>
    <row r="46" spans="1:82" s="5" customFormat="1" x14ac:dyDescent="0.2">
      <c r="A46" s="56" t="s">
        <v>92</v>
      </c>
      <c r="B46" s="234" t="s">
        <v>192</v>
      </c>
      <c r="C46" s="15" t="s">
        <v>220</v>
      </c>
      <c r="D46" s="15" t="s">
        <v>30</v>
      </c>
      <c r="E46" s="152"/>
      <c r="F46" s="165"/>
      <c r="G46" s="151"/>
      <c r="H46" s="11"/>
      <c r="I46" s="152"/>
      <c r="J46" s="165"/>
      <c r="K46" s="151"/>
      <c r="L46" s="153">
        <v>0.33333333333333331</v>
      </c>
      <c r="M46" s="166"/>
      <c r="N46" s="154">
        <v>0.70833333333333337</v>
      </c>
      <c r="O46" s="153">
        <v>0.33333333333333331</v>
      </c>
      <c r="P46" s="166"/>
      <c r="Q46" s="154">
        <v>0.70833333333333337</v>
      </c>
      <c r="R46" s="153">
        <v>0.33333333333333331</v>
      </c>
      <c r="S46" s="166"/>
      <c r="T46" s="154">
        <v>0.70833333333333337</v>
      </c>
      <c r="U46" s="153">
        <v>0.33333333333333331</v>
      </c>
      <c r="V46" s="166"/>
      <c r="W46" s="154">
        <v>0.70833333333333337</v>
      </c>
      <c r="X46" s="153">
        <v>0.33333333333333331</v>
      </c>
      <c r="Y46" s="166"/>
      <c r="Z46" s="154">
        <v>0.70833333333333337</v>
      </c>
      <c r="AA46" s="152"/>
      <c r="AB46" s="165"/>
      <c r="AC46" s="151"/>
      <c r="AD46" s="11"/>
      <c r="AE46" s="152"/>
      <c r="AF46" s="165"/>
      <c r="AG46" s="151"/>
      <c r="AH46" s="153">
        <v>0.33333333333333331</v>
      </c>
      <c r="AI46" s="166"/>
      <c r="AJ46" s="154">
        <v>0.70833333333333337</v>
      </c>
      <c r="AK46" s="153">
        <v>0.33333333333333331</v>
      </c>
      <c r="AL46" s="166"/>
      <c r="AM46" s="154">
        <v>0.70833333333333337</v>
      </c>
      <c r="AN46" s="153">
        <v>0.33333333333333331</v>
      </c>
      <c r="AO46" s="166"/>
      <c r="AP46" s="154">
        <v>0.70833333333333337</v>
      </c>
      <c r="AQ46" s="153">
        <v>0.33333333333333331</v>
      </c>
      <c r="AR46" s="166"/>
      <c r="AS46" s="154">
        <v>0.70833333333333337</v>
      </c>
      <c r="AT46" s="153">
        <v>0.33333333333333331</v>
      </c>
      <c r="AU46" s="166"/>
      <c r="AV46" s="154">
        <v>0.70833333333333337</v>
      </c>
      <c r="AW46" s="152"/>
      <c r="AX46" s="165"/>
      <c r="AY46" s="151"/>
      <c r="AZ46" s="11"/>
      <c r="BA46" s="152"/>
      <c r="BB46" s="165"/>
      <c r="BC46" s="151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</row>
    <row r="47" spans="1:82" s="5" customFormat="1" ht="13.5" thickBot="1" x14ac:dyDescent="0.25">
      <c r="A47" s="56" t="s">
        <v>166</v>
      </c>
      <c r="B47" s="234" t="s">
        <v>200</v>
      </c>
      <c r="C47" s="150" t="s">
        <v>220</v>
      </c>
      <c r="D47" s="150" t="s">
        <v>31</v>
      </c>
      <c r="E47" s="153"/>
      <c r="F47" s="166"/>
      <c r="G47" s="154"/>
      <c r="H47" s="147"/>
      <c r="I47" s="153"/>
      <c r="J47" s="166"/>
      <c r="K47" s="147"/>
      <c r="L47" s="153">
        <v>0.33333333333333331</v>
      </c>
      <c r="M47" s="166"/>
      <c r="N47" s="154">
        <v>0.70833333333333337</v>
      </c>
      <c r="O47" s="153">
        <v>0.33333333333333331</v>
      </c>
      <c r="P47" s="166"/>
      <c r="Q47" s="154">
        <v>0.70833333333333337</v>
      </c>
      <c r="R47" s="153">
        <v>0.33333333333333331</v>
      </c>
      <c r="S47" s="166"/>
      <c r="T47" s="154">
        <v>0.70833333333333337</v>
      </c>
      <c r="U47" s="153">
        <v>0.33333333333333331</v>
      </c>
      <c r="V47" s="166"/>
      <c r="W47" s="154">
        <v>0.70833333333333337</v>
      </c>
      <c r="X47" s="153">
        <v>0.33333333333333331</v>
      </c>
      <c r="Y47" s="166"/>
      <c r="Z47" s="154">
        <v>0.70833333333333337</v>
      </c>
      <c r="AA47" s="17"/>
      <c r="AB47" s="169"/>
      <c r="AC47" s="155"/>
      <c r="AD47" s="147"/>
      <c r="AE47" s="357"/>
      <c r="AF47" s="358"/>
      <c r="AG47" s="359"/>
      <c r="AH47" s="153">
        <v>0.33333333333333331</v>
      </c>
      <c r="AI47" s="166"/>
      <c r="AJ47" s="154">
        <v>0.70833333333333337</v>
      </c>
      <c r="AK47" s="153">
        <v>0.33333333333333331</v>
      </c>
      <c r="AL47" s="166"/>
      <c r="AM47" s="154">
        <v>0.70833333333333337</v>
      </c>
      <c r="AN47" s="153">
        <v>0.33333333333333331</v>
      </c>
      <c r="AO47" s="166"/>
      <c r="AP47" s="154">
        <v>0.70833333333333337</v>
      </c>
      <c r="AQ47" s="153">
        <v>0.33333333333333331</v>
      </c>
      <c r="AR47" s="166"/>
      <c r="AS47" s="154">
        <v>0.70833333333333337</v>
      </c>
      <c r="AT47" s="153">
        <v>0.33333333333333331</v>
      </c>
      <c r="AU47" s="166"/>
      <c r="AV47" s="154">
        <v>0.70833333333333337</v>
      </c>
      <c r="AW47" s="17"/>
      <c r="AX47" s="169"/>
      <c r="AY47" s="155"/>
      <c r="AZ47" s="147"/>
      <c r="BA47" s="153"/>
      <c r="BB47" s="166"/>
      <c r="BC47" s="154"/>
      <c r="BD47" s="298"/>
      <c r="BE47" s="298"/>
      <c r="BF47" s="298"/>
      <c r="BG47" s="298"/>
      <c r="BH47" s="298"/>
      <c r="BI47" s="298"/>
      <c r="BJ47" s="298"/>
      <c r="BK47" s="298"/>
      <c r="BL47" s="298"/>
      <c r="BM47" s="298"/>
      <c r="BN47" s="298"/>
      <c r="BO47" s="298"/>
      <c r="BP47" s="298"/>
      <c r="BQ47" s="298"/>
      <c r="BR47" s="298"/>
      <c r="BS47" s="298"/>
      <c r="BT47" s="298"/>
      <c r="BU47" s="298"/>
      <c r="BV47" s="298"/>
      <c r="BW47" s="298"/>
      <c r="BX47" s="298"/>
      <c r="BY47" s="298"/>
      <c r="BZ47" s="298"/>
      <c r="CA47" s="298"/>
      <c r="CB47" s="298"/>
      <c r="CC47" s="298"/>
      <c r="CD47" s="298"/>
    </row>
    <row r="48" spans="1:82" s="5" customFormat="1" ht="13.5" thickBot="1" x14ac:dyDescent="0.25">
      <c r="A48" s="20" t="s">
        <v>75</v>
      </c>
      <c r="B48" s="234" t="s">
        <v>193</v>
      </c>
      <c r="C48" s="15" t="s">
        <v>160</v>
      </c>
      <c r="D48" s="15" t="s">
        <v>31</v>
      </c>
      <c r="E48" s="153"/>
      <c r="F48" s="166"/>
      <c r="G48" s="154"/>
      <c r="H48" s="16"/>
      <c r="I48" s="19">
        <v>0.91666666666666663</v>
      </c>
      <c r="J48" s="173" t="s">
        <v>244</v>
      </c>
      <c r="K48" s="18">
        <v>0.25</v>
      </c>
      <c r="L48" s="159">
        <v>0.91666666666666663</v>
      </c>
      <c r="M48" s="173" t="s">
        <v>244</v>
      </c>
      <c r="N48" s="158">
        <v>0.25</v>
      </c>
      <c r="O48" s="159">
        <v>0.91666666666666663</v>
      </c>
      <c r="P48" s="173" t="s">
        <v>244</v>
      </c>
      <c r="Q48" s="158">
        <v>0.25</v>
      </c>
      <c r="R48" s="59" t="s">
        <v>7</v>
      </c>
      <c r="S48" s="176"/>
      <c r="T48" s="60"/>
      <c r="U48" s="59" t="s">
        <v>7</v>
      </c>
      <c r="V48" s="176"/>
      <c r="W48" s="60"/>
      <c r="X48" s="9" t="s">
        <v>7</v>
      </c>
      <c r="Y48" s="166"/>
      <c r="Z48" s="10"/>
      <c r="AA48" s="17"/>
      <c r="AB48" s="169"/>
      <c r="AC48" s="155"/>
      <c r="AD48" s="16"/>
      <c r="AE48" s="380">
        <v>0.91666666666666663</v>
      </c>
      <c r="AF48" s="381" t="s">
        <v>244</v>
      </c>
      <c r="AG48" s="382">
        <v>0.25</v>
      </c>
      <c r="AH48" s="376">
        <v>0.91666666666666663</v>
      </c>
      <c r="AI48" s="173" t="s">
        <v>244</v>
      </c>
      <c r="AJ48" s="158">
        <v>0.25</v>
      </c>
      <c r="AK48" s="159">
        <v>0.91666666666666663</v>
      </c>
      <c r="AL48" s="173" t="s">
        <v>244</v>
      </c>
      <c r="AM48" s="158">
        <v>0.25</v>
      </c>
      <c r="AN48" s="159">
        <v>0.91666666666666663</v>
      </c>
      <c r="AO48" s="173" t="s">
        <v>244</v>
      </c>
      <c r="AP48" s="158">
        <v>0.25</v>
      </c>
      <c r="AQ48" s="159">
        <v>0.91666666666666663</v>
      </c>
      <c r="AR48" s="173" t="s">
        <v>244</v>
      </c>
      <c r="AS48" s="158">
        <v>0.25</v>
      </c>
      <c r="AT48" s="9" t="s">
        <v>7</v>
      </c>
      <c r="AU48" s="166"/>
      <c r="AV48" s="10"/>
      <c r="AW48" s="17"/>
      <c r="AX48" s="169"/>
      <c r="AY48" s="155"/>
      <c r="AZ48" s="16"/>
      <c r="BA48" s="19">
        <v>0.91666666666666663</v>
      </c>
      <c r="BB48" s="173" t="s">
        <v>244</v>
      </c>
      <c r="BC48" s="18">
        <v>0.25</v>
      </c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</row>
    <row r="49" spans="1:82" s="5" customFormat="1" ht="13.5" thickBot="1" x14ac:dyDescent="0.25">
      <c r="A49" s="20" t="s">
        <v>117</v>
      </c>
      <c r="B49" s="234" t="s">
        <v>194</v>
      </c>
      <c r="C49" s="15" t="s">
        <v>160</v>
      </c>
      <c r="D49" s="15" t="s">
        <v>39</v>
      </c>
      <c r="E49" s="57" t="s">
        <v>16</v>
      </c>
      <c r="F49" s="175"/>
      <c r="G49" s="58"/>
      <c r="H49" s="147"/>
      <c r="I49" s="57" t="s">
        <v>16</v>
      </c>
      <c r="J49" s="175"/>
      <c r="K49" s="58"/>
      <c r="L49" s="373">
        <v>0.375</v>
      </c>
      <c r="M49" s="374"/>
      <c r="N49" s="375">
        <v>0.75</v>
      </c>
      <c r="O49" s="145">
        <v>0.375</v>
      </c>
      <c r="P49" s="166"/>
      <c r="Q49" s="146">
        <v>0.75</v>
      </c>
      <c r="R49" s="145">
        <v>0.375</v>
      </c>
      <c r="S49" s="166"/>
      <c r="T49" s="146">
        <v>0.75</v>
      </c>
      <c r="U49" s="145">
        <v>0.375</v>
      </c>
      <c r="V49" s="166"/>
      <c r="W49" s="146">
        <v>0.75</v>
      </c>
      <c r="X49" s="145">
        <v>0.375</v>
      </c>
      <c r="Y49" s="166"/>
      <c r="Z49" s="146">
        <v>0.75</v>
      </c>
      <c r="AA49" s="17"/>
      <c r="AB49" s="169"/>
      <c r="AC49" s="155"/>
      <c r="AD49" s="147"/>
      <c r="AE49" s="377"/>
      <c r="AF49" s="378"/>
      <c r="AG49" s="379"/>
      <c r="AH49" s="373">
        <v>0.375</v>
      </c>
      <c r="AI49" s="374"/>
      <c r="AJ49" s="375">
        <v>0.75</v>
      </c>
      <c r="AK49" s="153">
        <v>0.375</v>
      </c>
      <c r="AL49" s="166"/>
      <c r="AM49" s="154">
        <v>0.75</v>
      </c>
      <c r="AN49" s="145">
        <v>0.375</v>
      </c>
      <c r="AO49" s="166"/>
      <c r="AP49" s="146">
        <v>0.75</v>
      </c>
      <c r="AQ49" s="145">
        <v>0.375</v>
      </c>
      <c r="AR49" s="166"/>
      <c r="AS49" s="146">
        <v>0.75</v>
      </c>
      <c r="AT49" s="41" t="s">
        <v>82</v>
      </c>
      <c r="AU49" s="177"/>
      <c r="AV49" s="42"/>
      <c r="AW49" s="135">
        <v>0.33333333333333331</v>
      </c>
      <c r="AX49" s="172" t="s">
        <v>125</v>
      </c>
      <c r="AY49" s="351">
        <v>0.66666666666666663</v>
      </c>
      <c r="AZ49" s="147"/>
      <c r="BA49" s="17"/>
      <c r="BB49" s="169"/>
      <c r="BC49" s="13"/>
      <c r="BD49" s="143"/>
      <c r="BE49" s="143"/>
      <c r="BF49" s="143"/>
      <c r="BG49" s="143"/>
      <c r="BH49" s="143"/>
      <c r="BI49" s="143"/>
      <c r="BJ49" s="143"/>
      <c r="BK49" s="143"/>
      <c r="BL49" s="143"/>
      <c r="BM49" s="143"/>
      <c r="BN49" s="143"/>
      <c r="BO49" s="143"/>
      <c r="BP49" s="143"/>
      <c r="BQ49" s="143"/>
      <c r="BR49" s="143"/>
      <c r="BS49" s="143"/>
      <c r="BT49" s="143"/>
      <c r="BU49" s="143"/>
      <c r="BV49" s="143"/>
      <c r="BW49" s="143"/>
      <c r="BX49" s="143"/>
      <c r="BY49" s="143"/>
      <c r="BZ49" s="143"/>
      <c r="CA49" s="143"/>
      <c r="CB49" s="143"/>
      <c r="CC49" s="143"/>
      <c r="CD49" s="143"/>
    </row>
    <row r="50" spans="1:82" s="5" customFormat="1" x14ac:dyDescent="0.2">
      <c r="A50" s="20" t="s">
        <v>111</v>
      </c>
      <c r="B50" s="234" t="s">
        <v>195</v>
      </c>
      <c r="C50" s="150" t="s">
        <v>220</v>
      </c>
      <c r="D50" s="15" t="s">
        <v>31</v>
      </c>
      <c r="E50" s="17"/>
      <c r="F50" s="169"/>
      <c r="G50" s="155"/>
      <c r="H50" s="46"/>
      <c r="I50" s="16"/>
      <c r="J50" s="166"/>
      <c r="K50" s="10"/>
      <c r="L50" s="153">
        <v>0.29166666666666669</v>
      </c>
      <c r="M50" s="166"/>
      <c r="N50" s="154">
        <v>0.66666666666666663</v>
      </c>
      <c r="O50" s="153">
        <v>0.29166666666666669</v>
      </c>
      <c r="P50" s="166"/>
      <c r="Q50" s="154">
        <v>0.66666666666666663</v>
      </c>
      <c r="R50" s="153">
        <v>0.29166666666666669</v>
      </c>
      <c r="S50" s="166"/>
      <c r="T50" s="154">
        <v>0.66666666666666663</v>
      </c>
      <c r="U50" s="153">
        <v>0.29166666666666669</v>
      </c>
      <c r="V50" s="166"/>
      <c r="W50" s="154">
        <v>0.66666666666666663</v>
      </c>
      <c r="X50" s="153">
        <v>0.29166666666666669</v>
      </c>
      <c r="Y50" s="166"/>
      <c r="Z50" s="154">
        <v>0.66666666666666663</v>
      </c>
      <c r="AA50" s="348">
        <v>0.33333333333333331</v>
      </c>
      <c r="AB50" s="349"/>
      <c r="AC50" s="350">
        <v>0.83333333333333337</v>
      </c>
      <c r="AD50" s="46"/>
      <c r="AE50" s="16"/>
      <c r="AF50" s="166"/>
      <c r="AG50" s="10"/>
      <c r="AH50" s="153">
        <v>0.29166666666666669</v>
      </c>
      <c r="AI50" s="166"/>
      <c r="AJ50" s="154">
        <v>0.66666666666666663</v>
      </c>
      <c r="AK50" s="153">
        <v>0.29166666666666669</v>
      </c>
      <c r="AL50" s="166"/>
      <c r="AM50" s="154">
        <v>0.66666666666666663</v>
      </c>
      <c r="AN50" s="153">
        <v>0.29166666666666669</v>
      </c>
      <c r="AO50" s="166"/>
      <c r="AP50" s="154">
        <v>0.66666666666666663</v>
      </c>
      <c r="AQ50" s="41" t="s">
        <v>82</v>
      </c>
      <c r="AR50" s="177"/>
      <c r="AS50" s="42"/>
      <c r="AT50" s="153">
        <v>0.29166666666666669</v>
      </c>
      <c r="AU50" s="166"/>
      <c r="AV50" s="154">
        <v>0.66666666666666663</v>
      </c>
      <c r="AW50" s="134">
        <v>0.25</v>
      </c>
      <c r="AX50" s="168" t="s">
        <v>244</v>
      </c>
      <c r="AY50" s="352">
        <v>0.58333333333333337</v>
      </c>
      <c r="AZ50" s="46"/>
      <c r="BA50" s="16"/>
      <c r="BB50" s="164"/>
      <c r="BC50" s="13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</row>
    <row r="51" spans="1:82" s="5" customFormat="1" x14ac:dyDescent="0.2">
      <c r="A51" s="56" t="s">
        <v>235</v>
      </c>
      <c r="B51" s="234" t="s">
        <v>237</v>
      </c>
      <c r="C51" s="150" t="s">
        <v>72</v>
      </c>
      <c r="D51" s="150" t="s">
        <v>39</v>
      </c>
      <c r="E51" s="57" t="s">
        <v>16</v>
      </c>
      <c r="F51" s="175"/>
      <c r="G51" s="58"/>
      <c r="H51" s="147"/>
      <c r="I51" s="57" t="s">
        <v>16</v>
      </c>
      <c r="J51" s="175"/>
      <c r="K51" s="58"/>
      <c r="L51" s="153">
        <v>0.25</v>
      </c>
      <c r="M51" s="166"/>
      <c r="N51" s="154">
        <v>0.625</v>
      </c>
      <c r="O51" s="153">
        <v>0.25</v>
      </c>
      <c r="P51" s="166"/>
      <c r="Q51" s="154">
        <v>0.625</v>
      </c>
      <c r="R51" s="153">
        <v>0.25</v>
      </c>
      <c r="S51" s="166"/>
      <c r="T51" s="154">
        <v>0.625</v>
      </c>
      <c r="U51" s="153">
        <v>0.25</v>
      </c>
      <c r="V51" s="166"/>
      <c r="W51" s="154">
        <v>0.625</v>
      </c>
      <c r="X51" s="153">
        <v>0.25</v>
      </c>
      <c r="Y51" s="166"/>
      <c r="Z51" s="154">
        <v>0.625</v>
      </c>
      <c r="AA51" s="57" t="s">
        <v>16</v>
      </c>
      <c r="AB51" s="175"/>
      <c r="AC51" s="58"/>
      <c r="AD51" s="149"/>
      <c r="AE51" s="57" t="s">
        <v>16</v>
      </c>
      <c r="AF51" s="175"/>
      <c r="AG51" s="58"/>
      <c r="AH51" s="153">
        <v>0.25</v>
      </c>
      <c r="AI51" s="166"/>
      <c r="AJ51" s="154">
        <v>0.625</v>
      </c>
      <c r="AK51" s="153">
        <v>0.25</v>
      </c>
      <c r="AL51" s="166"/>
      <c r="AM51" s="154">
        <v>0.625</v>
      </c>
      <c r="AN51" s="153">
        <v>0.25</v>
      </c>
      <c r="AO51" s="166"/>
      <c r="AP51" s="154">
        <v>0.625</v>
      </c>
      <c r="AQ51" s="153">
        <v>0.25</v>
      </c>
      <c r="AR51" s="166"/>
      <c r="AS51" s="154">
        <v>0.625</v>
      </c>
      <c r="AT51" s="153">
        <v>0.25</v>
      </c>
      <c r="AU51" s="166"/>
      <c r="AV51" s="154">
        <v>0.625</v>
      </c>
      <c r="AW51" s="57" t="s">
        <v>16</v>
      </c>
      <c r="AX51" s="175"/>
      <c r="AY51" s="58"/>
      <c r="AZ51" s="147"/>
      <c r="BA51" s="57" t="s">
        <v>16</v>
      </c>
      <c r="BB51" s="175"/>
      <c r="BC51" s="58"/>
      <c r="BD51" s="323"/>
      <c r="BE51" s="323"/>
      <c r="BF51" s="323"/>
      <c r="BG51" s="323"/>
      <c r="BH51" s="323"/>
      <c r="BI51" s="323"/>
      <c r="BJ51" s="323"/>
      <c r="BK51" s="323"/>
      <c r="BL51" s="323"/>
      <c r="BM51" s="323"/>
      <c r="BN51" s="323"/>
      <c r="BO51" s="323"/>
      <c r="BP51" s="323"/>
      <c r="BQ51" s="323"/>
      <c r="BR51" s="323"/>
      <c r="BS51" s="323"/>
      <c r="BT51" s="323"/>
      <c r="BU51" s="323"/>
      <c r="BV51" s="323"/>
      <c r="BW51" s="323"/>
      <c r="BX51" s="323"/>
      <c r="BY51" s="323"/>
      <c r="BZ51" s="323"/>
      <c r="CA51" s="323"/>
      <c r="CB51" s="323"/>
      <c r="CC51" s="323"/>
      <c r="CD51" s="323"/>
    </row>
    <row r="52" spans="1:82" s="5" customFormat="1" x14ac:dyDescent="0.2">
      <c r="A52" s="20" t="s">
        <v>100</v>
      </c>
      <c r="B52" s="234" t="s">
        <v>196</v>
      </c>
      <c r="C52" s="15" t="s">
        <v>160</v>
      </c>
      <c r="D52" s="15" t="s">
        <v>31</v>
      </c>
      <c r="E52" s="153"/>
      <c r="F52" s="166"/>
      <c r="G52" s="154"/>
      <c r="H52" s="11"/>
      <c r="I52" s="348">
        <v>0.33333333333333331</v>
      </c>
      <c r="J52" s="349"/>
      <c r="K52" s="350">
        <v>0.83333333333333337</v>
      </c>
      <c r="L52" s="161">
        <v>0.58333333333333337</v>
      </c>
      <c r="M52" s="167" t="s">
        <v>125</v>
      </c>
      <c r="N52" s="160">
        <v>0.91666666666666663</v>
      </c>
      <c r="O52" s="161">
        <v>0.58333333333333337</v>
      </c>
      <c r="P52" s="167" t="s">
        <v>125</v>
      </c>
      <c r="Q52" s="160">
        <v>0.91666666666666663</v>
      </c>
      <c r="R52" s="159">
        <v>0.91666666666666663</v>
      </c>
      <c r="S52" s="173" t="s">
        <v>244</v>
      </c>
      <c r="T52" s="158">
        <v>0.25</v>
      </c>
      <c r="U52" s="159">
        <v>0.91666666666666663</v>
      </c>
      <c r="V52" s="173" t="s">
        <v>244</v>
      </c>
      <c r="W52" s="158">
        <v>0.25</v>
      </c>
      <c r="X52" s="161">
        <v>0.58333333333333337</v>
      </c>
      <c r="Y52" s="167" t="s">
        <v>125</v>
      </c>
      <c r="Z52" s="160">
        <v>0.91666666666666663</v>
      </c>
      <c r="AA52" s="153"/>
      <c r="AB52" s="166"/>
      <c r="AC52" s="154"/>
      <c r="AD52" s="11"/>
      <c r="AE52" s="153"/>
      <c r="AF52" s="166"/>
      <c r="AG52" s="154"/>
      <c r="AH52" s="161">
        <v>0.58333333333333337</v>
      </c>
      <c r="AI52" s="167" t="s">
        <v>125</v>
      </c>
      <c r="AJ52" s="160">
        <v>0.91666666666666663</v>
      </c>
      <c r="AK52" s="161">
        <v>0.58333333333333337</v>
      </c>
      <c r="AL52" s="167" t="s">
        <v>125</v>
      </c>
      <c r="AM52" s="160">
        <v>0.91666666666666663</v>
      </c>
      <c r="AN52" s="161">
        <v>0.58333333333333337</v>
      </c>
      <c r="AO52" s="167" t="s">
        <v>125</v>
      </c>
      <c r="AP52" s="160">
        <v>0.91666666666666663</v>
      </c>
      <c r="AQ52" s="161">
        <v>0.58333333333333337</v>
      </c>
      <c r="AR52" s="167" t="s">
        <v>125</v>
      </c>
      <c r="AS52" s="160">
        <v>0.91666666666666663</v>
      </c>
      <c r="AT52" s="161">
        <v>0.58333333333333337</v>
      </c>
      <c r="AU52" s="167" t="s">
        <v>125</v>
      </c>
      <c r="AV52" s="160">
        <v>0.91666666666666663</v>
      </c>
      <c r="AW52" s="153"/>
      <c r="AX52" s="166"/>
      <c r="AY52" s="154"/>
      <c r="AZ52" s="11"/>
      <c r="BA52" s="153"/>
      <c r="BB52" s="166"/>
      <c r="BC52" s="154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</row>
    <row r="53" spans="1:82" s="5" customFormat="1" x14ac:dyDescent="0.2">
      <c r="A53" s="56" t="s">
        <v>274</v>
      </c>
      <c r="B53" s="234" t="s">
        <v>275</v>
      </c>
      <c r="C53" s="150" t="s">
        <v>210</v>
      </c>
      <c r="D53" s="150" t="s">
        <v>39</v>
      </c>
      <c r="E53" s="153"/>
      <c r="F53" s="166"/>
      <c r="G53" s="154"/>
      <c r="H53" s="11"/>
      <c r="I53" s="153"/>
      <c r="J53" s="166"/>
      <c r="K53" s="154"/>
      <c r="L53" s="17" t="s">
        <v>278</v>
      </c>
      <c r="M53" s="39"/>
      <c r="N53" s="155" t="s">
        <v>158</v>
      </c>
      <c r="O53" s="17" t="s">
        <v>278</v>
      </c>
      <c r="P53" s="39"/>
      <c r="Q53" s="155" t="s">
        <v>158</v>
      </c>
      <c r="R53" s="17" t="s">
        <v>278</v>
      </c>
      <c r="S53" s="39"/>
      <c r="T53" s="155" t="s">
        <v>158</v>
      </c>
      <c r="U53" s="17" t="s">
        <v>278</v>
      </c>
      <c r="V53" s="39"/>
      <c r="W53" s="155" t="s">
        <v>158</v>
      </c>
      <c r="X53" s="17" t="s">
        <v>278</v>
      </c>
      <c r="Y53" s="39"/>
      <c r="Z53" s="155" t="s">
        <v>158</v>
      </c>
      <c r="AA53" s="153"/>
      <c r="AB53" s="166"/>
      <c r="AC53" s="154"/>
      <c r="AD53" s="11"/>
      <c r="AE53" s="153"/>
      <c r="AF53" s="166"/>
      <c r="AG53" s="154"/>
      <c r="AH53" s="17">
        <v>0.33333333333333331</v>
      </c>
      <c r="AI53" s="39"/>
      <c r="AJ53" s="155">
        <v>0.70833333333333337</v>
      </c>
      <c r="AK53" s="17">
        <v>0.33333333333333331</v>
      </c>
      <c r="AL53" s="39"/>
      <c r="AM53" s="155">
        <v>0.70833333333333337</v>
      </c>
      <c r="AN53" s="17">
        <v>0.33333333333333331</v>
      </c>
      <c r="AO53" s="39"/>
      <c r="AP53" s="155">
        <v>0.70833333333333337</v>
      </c>
      <c r="AQ53" s="17">
        <v>0.33333333333333331</v>
      </c>
      <c r="AR53" s="39"/>
      <c r="AS53" s="155">
        <v>0.70833333333333337</v>
      </c>
      <c r="AT53" s="17">
        <v>0.33333333333333331</v>
      </c>
      <c r="AU53" s="39"/>
      <c r="AV53" s="155">
        <v>0.70833333333333337</v>
      </c>
      <c r="AW53" s="153"/>
      <c r="AX53" s="166"/>
      <c r="AY53" s="154"/>
      <c r="AZ53" s="11"/>
      <c r="BA53" s="153"/>
      <c r="BB53" s="166"/>
      <c r="BC53" s="154"/>
      <c r="BD53" s="346"/>
      <c r="BE53" s="346"/>
      <c r="BF53" s="346"/>
      <c r="BG53" s="346"/>
      <c r="BH53" s="346"/>
      <c r="BI53" s="346"/>
      <c r="BJ53" s="346"/>
      <c r="BK53" s="346"/>
      <c r="BL53" s="346"/>
      <c r="BM53" s="346"/>
      <c r="BN53" s="346"/>
      <c r="BO53" s="346"/>
      <c r="BP53" s="346"/>
      <c r="BQ53" s="346"/>
      <c r="BR53" s="346"/>
      <c r="BS53" s="346"/>
      <c r="BT53" s="346"/>
      <c r="BU53" s="346"/>
      <c r="BV53" s="346"/>
      <c r="BW53" s="346"/>
      <c r="BX53" s="346"/>
      <c r="BY53" s="346"/>
      <c r="BZ53" s="346"/>
      <c r="CA53" s="346"/>
      <c r="CB53" s="346"/>
      <c r="CC53" s="346"/>
      <c r="CD53" s="346"/>
    </row>
    <row r="54" spans="1:82" s="5" customFormat="1" x14ac:dyDescent="0.2">
      <c r="A54" s="148" t="s">
        <v>121</v>
      </c>
      <c r="B54" s="234" t="s">
        <v>197</v>
      </c>
      <c r="C54" s="150" t="s">
        <v>160</v>
      </c>
      <c r="D54" s="150" t="s">
        <v>31</v>
      </c>
      <c r="E54" s="153"/>
      <c r="F54" s="166"/>
      <c r="G54" s="154"/>
      <c r="H54" s="11"/>
      <c r="I54" s="134">
        <v>0.25</v>
      </c>
      <c r="J54" s="168" t="s">
        <v>244</v>
      </c>
      <c r="K54" s="352">
        <v>0.58333333333333337</v>
      </c>
      <c r="L54" s="153">
        <v>0.25</v>
      </c>
      <c r="M54" s="147" t="s">
        <v>242</v>
      </c>
      <c r="N54" s="154">
        <v>0.625</v>
      </c>
      <c r="O54" s="41" t="s">
        <v>82</v>
      </c>
      <c r="P54" s="177"/>
      <c r="Q54" s="42"/>
      <c r="R54" s="153">
        <v>0.25</v>
      </c>
      <c r="S54" s="147" t="s">
        <v>242</v>
      </c>
      <c r="T54" s="154">
        <v>0.625</v>
      </c>
      <c r="U54" s="153">
        <v>0.25</v>
      </c>
      <c r="V54" s="147" t="s">
        <v>242</v>
      </c>
      <c r="W54" s="154">
        <v>0.625</v>
      </c>
      <c r="X54" s="153">
        <v>0.25</v>
      </c>
      <c r="Y54" s="147" t="s">
        <v>242</v>
      </c>
      <c r="Z54" s="154">
        <v>0.625</v>
      </c>
      <c r="AA54" s="153"/>
      <c r="AB54" s="166"/>
      <c r="AC54" s="154"/>
      <c r="AD54" s="11"/>
      <c r="AE54" s="153"/>
      <c r="AF54" s="166"/>
      <c r="AG54" s="154"/>
      <c r="AH54" s="153">
        <v>0.25</v>
      </c>
      <c r="AI54" s="147" t="s">
        <v>242</v>
      </c>
      <c r="AJ54" s="154">
        <v>0.625</v>
      </c>
      <c r="AK54" s="153">
        <v>0.25</v>
      </c>
      <c r="AL54" s="147" t="s">
        <v>242</v>
      </c>
      <c r="AM54" s="154">
        <v>0.625</v>
      </c>
      <c r="AN54" s="366" t="s">
        <v>7</v>
      </c>
      <c r="AO54" s="364"/>
      <c r="AP54" s="365"/>
      <c r="AQ54" s="153">
        <v>0.25</v>
      </c>
      <c r="AR54" s="147" t="s">
        <v>242</v>
      </c>
      <c r="AS54" s="154">
        <v>0.625</v>
      </c>
      <c r="AT54" s="153">
        <v>0.25</v>
      </c>
      <c r="AU54" s="147" t="s">
        <v>242</v>
      </c>
      <c r="AV54" s="154">
        <v>0.625</v>
      </c>
      <c r="AW54" s="153"/>
      <c r="AX54" s="166"/>
      <c r="AY54" s="154"/>
      <c r="AZ54" s="11"/>
      <c r="BA54" s="153"/>
      <c r="BB54" s="166"/>
      <c r="BC54" s="154"/>
      <c r="BD54" s="162"/>
      <c r="BE54" s="162"/>
      <c r="BF54" s="162"/>
      <c r="BG54" s="162"/>
      <c r="BH54" s="162"/>
      <c r="BI54" s="162"/>
      <c r="BJ54" s="162"/>
      <c r="BK54" s="162"/>
      <c r="BL54" s="162"/>
      <c r="BM54" s="162"/>
      <c r="BN54" s="162"/>
      <c r="BO54" s="162"/>
      <c r="BP54" s="162"/>
      <c r="BQ54" s="162"/>
      <c r="BR54" s="162"/>
      <c r="BS54" s="162"/>
      <c r="BT54" s="162"/>
      <c r="BU54" s="162"/>
      <c r="BV54" s="162"/>
      <c r="BW54" s="162"/>
      <c r="BX54" s="162"/>
      <c r="BY54" s="162"/>
      <c r="BZ54" s="162"/>
      <c r="CA54" s="162"/>
      <c r="CB54" s="162"/>
      <c r="CC54" s="162"/>
      <c r="CD54" s="162"/>
    </row>
    <row r="55" spans="1:82" s="5" customFormat="1" x14ac:dyDescent="0.2">
      <c r="A55" s="56" t="s">
        <v>276</v>
      </c>
      <c r="B55" s="234" t="s">
        <v>277</v>
      </c>
      <c r="C55" s="150" t="s">
        <v>220</v>
      </c>
      <c r="D55" s="150" t="s">
        <v>39</v>
      </c>
      <c r="E55" s="153"/>
      <c r="F55" s="166"/>
      <c r="G55" s="154"/>
      <c r="H55" s="11"/>
      <c r="I55" s="153"/>
      <c r="J55" s="166"/>
      <c r="K55" s="154"/>
      <c r="L55" s="17" t="s">
        <v>278</v>
      </c>
      <c r="M55" s="39"/>
      <c r="N55" s="155" t="s">
        <v>158</v>
      </c>
      <c r="O55" s="17" t="s">
        <v>278</v>
      </c>
      <c r="P55" s="39"/>
      <c r="Q55" s="155" t="s">
        <v>158</v>
      </c>
      <c r="R55" s="17" t="s">
        <v>278</v>
      </c>
      <c r="S55" s="39"/>
      <c r="T55" s="155" t="s">
        <v>158</v>
      </c>
      <c r="U55" s="17" t="s">
        <v>278</v>
      </c>
      <c r="V55" s="39"/>
      <c r="W55" s="155" t="s">
        <v>158</v>
      </c>
      <c r="X55" s="17" t="s">
        <v>278</v>
      </c>
      <c r="Y55" s="39"/>
      <c r="Z55" s="155" t="s">
        <v>158</v>
      </c>
      <c r="AA55" s="153"/>
      <c r="AB55" s="166"/>
      <c r="AC55" s="154"/>
      <c r="AD55" s="11"/>
      <c r="AE55" s="153"/>
      <c r="AF55" s="166"/>
      <c r="AG55" s="154"/>
      <c r="AH55" s="17" t="s">
        <v>278</v>
      </c>
      <c r="AI55" s="39"/>
      <c r="AJ55" s="155" t="s">
        <v>158</v>
      </c>
      <c r="AK55" s="17" t="s">
        <v>278</v>
      </c>
      <c r="AL55" s="39"/>
      <c r="AM55" s="155" t="s">
        <v>158</v>
      </c>
      <c r="AN55" s="17" t="s">
        <v>278</v>
      </c>
      <c r="AO55" s="39"/>
      <c r="AP55" s="155" t="s">
        <v>158</v>
      </c>
      <c r="AQ55" s="17" t="s">
        <v>285</v>
      </c>
      <c r="AR55" s="169"/>
      <c r="AS55" s="155"/>
      <c r="AT55" s="17" t="s">
        <v>285</v>
      </c>
      <c r="AU55" s="169"/>
      <c r="AV55" s="155"/>
      <c r="AW55" s="153"/>
      <c r="AX55" s="166"/>
      <c r="AY55" s="154"/>
      <c r="AZ55" s="11"/>
      <c r="BA55" s="153"/>
      <c r="BB55" s="166"/>
      <c r="BC55" s="154"/>
      <c r="BD55" s="346"/>
      <c r="BE55" s="346"/>
      <c r="BF55" s="346"/>
      <c r="BG55" s="346"/>
      <c r="BH55" s="346"/>
      <c r="BI55" s="346"/>
      <c r="BJ55" s="346"/>
      <c r="BK55" s="346"/>
      <c r="BL55" s="346"/>
      <c r="BM55" s="346"/>
      <c r="BN55" s="346"/>
      <c r="BO55" s="346"/>
      <c r="BP55" s="346"/>
      <c r="BQ55" s="346"/>
      <c r="BR55" s="346"/>
      <c r="BS55" s="346"/>
      <c r="BT55" s="346"/>
      <c r="BU55" s="346"/>
      <c r="BV55" s="346"/>
      <c r="BW55" s="346"/>
      <c r="BX55" s="346"/>
      <c r="BY55" s="346"/>
      <c r="BZ55" s="346"/>
      <c r="CA55" s="346"/>
      <c r="CB55" s="346"/>
      <c r="CC55" s="346"/>
      <c r="CD55" s="346"/>
    </row>
    <row r="56" spans="1:82" s="5" customFormat="1" x14ac:dyDescent="0.2">
      <c r="A56" s="56" t="s">
        <v>248</v>
      </c>
      <c r="B56" s="234" t="s">
        <v>249</v>
      </c>
      <c r="C56" s="150" t="s">
        <v>210</v>
      </c>
      <c r="D56" s="150" t="s">
        <v>39</v>
      </c>
      <c r="E56" s="153"/>
      <c r="F56" s="166"/>
      <c r="G56" s="154"/>
      <c r="H56" s="11"/>
      <c r="I56" s="153"/>
      <c r="J56" s="166"/>
      <c r="K56" s="154"/>
      <c r="L56" s="153">
        <v>0.29166666666666669</v>
      </c>
      <c r="M56" s="166"/>
      <c r="N56" s="154">
        <v>0.66666666666666663</v>
      </c>
      <c r="O56" s="153">
        <v>0.29166666666666669</v>
      </c>
      <c r="P56" s="166"/>
      <c r="Q56" s="154">
        <v>0.66666666666666663</v>
      </c>
      <c r="R56" s="153">
        <v>0.29166666666666669</v>
      </c>
      <c r="S56" s="166"/>
      <c r="T56" s="154">
        <v>0.66666666666666663</v>
      </c>
      <c r="U56" s="153">
        <v>0.29166666666666669</v>
      </c>
      <c r="V56" s="166"/>
      <c r="W56" s="154">
        <v>0.66666666666666663</v>
      </c>
      <c r="X56" s="153">
        <v>0.29166666666666669</v>
      </c>
      <c r="Y56" s="166"/>
      <c r="Z56" s="154">
        <v>0.66666666666666663</v>
      </c>
      <c r="AA56" s="153"/>
      <c r="AB56" s="166"/>
      <c r="AC56" s="154"/>
      <c r="AD56" s="11"/>
      <c r="AE56" s="153"/>
      <c r="AF56" s="166"/>
      <c r="AG56" s="154"/>
      <c r="AH56" s="153">
        <v>0.29166666666666669</v>
      </c>
      <c r="AI56" s="166"/>
      <c r="AJ56" s="154">
        <v>0.66666666666666663</v>
      </c>
      <c r="AK56" s="153">
        <v>0.29166666666666669</v>
      </c>
      <c r="AL56" s="166"/>
      <c r="AM56" s="154">
        <v>0.66666666666666663</v>
      </c>
      <c r="AN56" s="153">
        <v>0.29166666666666669</v>
      </c>
      <c r="AO56" s="166"/>
      <c r="AP56" s="154">
        <v>0.66666666666666663</v>
      </c>
      <c r="AQ56" s="153">
        <v>0.29166666666666669</v>
      </c>
      <c r="AR56" s="166"/>
      <c r="AS56" s="154">
        <v>0.66666666666666663</v>
      </c>
      <c r="AT56" s="153">
        <v>0.29166666666666669</v>
      </c>
      <c r="AU56" s="166"/>
      <c r="AV56" s="154">
        <v>0.66666666666666663</v>
      </c>
      <c r="AW56" s="153"/>
      <c r="AX56" s="166"/>
      <c r="AY56" s="154"/>
      <c r="AZ56" s="11"/>
      <c r="BA56" s="134">
        <v>0.25</v>
      </c>
      <c r="BB56" s="168" t="s">
        <v>244</v>
      </c>
      <c r="BC56" s="352">
        <v>0.58333333333333337</v>
      </c>
      <c r="BD56" s="331"/>
      <c r="BE56" s="331"/>
      <c r="BF56" s="331"/>
      <c r="BG56" s="331"/>
      <c r="BH56" s="331"/>
      <c r="BI56" s="331"/>
      <c r="BJ56" s="331"/>
      <c r="BK56" s="331"/>
      <c r="BL56" s="331"/>
      <c r="BM56" s="331"/>
      <c r="BN56" s="331"/>
      <c r="BO56" s="331"/>
      <c r="BP56" s="331"/>
      <c r="BQ56" s="331"/>
      <c r="BR56" s="331"/>
      <c r="BS56" s="331"/>
      <c r="BT56" s="331"/>
      <c r="BU56" s="331"/>
      <c r="BV56" s="331"/>
      <c r="BW56" s="331"/>
      <c r="BX56" s="331"/>
      <c r="BY56" s="331"/>
      <c r="BZ56" s="331"/>
      <c r="CA56" s="331"/>
      <c r="CB56" s="331"/>
      <c r="CC56" s="331"/>
      <c r="CD56" s="331"/>
    </row>
    <row r="57" spans="1:82" s="5" customFormat="1" x14ac:dyDescent="0.2">
      <c r="A57" s="56" t="s">
        <v>265</v>
      </c>
      <c r="B57" s="234" t="s">
        <v>266</v>
      </c>
      <c r="C57" s="150" t="s">
        <v>210</v>
      </c>
      <c r="D57" s="150" t="s">
        <v>39</v>
      </c>
      <c r="E57" s="153"/>
      <c r="F57" s="166"/>
      <c r="G57" s="154"/>
      <c r="H57" s="11"/>
      <c r="I57" s="153"/>
      <c r="J57" s="166"/>
      <c r="K57" s="154"/>
      <c r="L57" s="153">
        <v>0.33333333333333331</v>
      </c>
      <c r="M57" s="147"/>
      <c r="N57" s="154">
        <v>0.70833333333333337</v>
      </c>
      <c r="O57" s="153">
        <v>0.33333333333333331</v>
      </c>
      <c r="P57" s="147"/>
      <c r="Q57" s="154">
        <v>0.70833333333333337</v>
      </c>
      <c r="R57" s="153">
        <v>0.33333333333333331</v>
      </c>
      <c r="S57" s="147"/>
      <c r="T57" s="154">
        <v>0.70833333333333337</v>
      </c>
      <c r="U57" s="153">
        <v>0.33333333333333331</v>
      </c>
      <c r="V57" s="147"/>
      <c r="W57" s="154">
        <v>0.70833333333333337</v>
      </c>
      <c r="X57" s="153">
        <v>0.33333333333333331</v>
      </c>
      <c r="Y57" s="364"/>
      <c r="Z57" s="365"/>
      <c r="AA57" s="153"/>
      <c r="AB57" s="166"/>
      <c r="AC57" s="154"/>
      <c r="AD57" s="11"/>
      <c r="AE57" s="153"/>
      <c r="AF57" s="166"/>
      <c r="AG57" s="154"/>
      <c r="AH57" s="153">
        <v>0.33333333333333331</v>
      </c>
      <c r="AI57" s="147"/>
      <c r="AJ57" s="154">
        <v>0.70833333333333337</v>
      </c>
      <c r="AK57" s="153">
        <v>0.33333333333333331</v>
      </c>
      <c r="AL57" s="147"/>
      <c r="AM57" s="154">
        <v>0.70833333333333337</v>
      </c>
      <c r="AN57" s="153">
        <v>0.33333333333333331</v>
      </c>
      <c r="AO57" s="147"/>
      <c r="AP57" s="154">
        <v>0.70833333333333337</v>
      </c>
      <c r="AQ57" s="153">
        <v>0.33333333333333331</v>
      </c>
      <c r="AR57" s="147"/>
      <c r="AS57" s="154">
        <v>0.70833333333333337</v>
      </c>
      <c r="AT57" s="153">
        <v>0.33333333333333331</v>
      </c>
      <c r="AU57" s="147"/>
      <c r="AV57" s="154">
        <v>0.70833333333333337</v>
      </c>
      <c r="AW57" s="153"/>
      <c r="AX57" s="166"/>
      <c r="AY57" s="154"/>
      <c r="AZ57" s="11"/>
      <c r="BA57" s="153"/>
      <c r="BB57" s="166"/>
      <c r="BC57" s="154"/>
      <c r="BD57" s="344"/>
      <c r="BE57" s="344"/>
      <c r="BF57" s="344"/>
      <c r="BG57" s="344"/>
      <c r="BH57" s="344"/>
      <c r="BI57" s="344"/>
      <c r="BJ57" s="344"/>
      <c r="BK57" s="344"/>
      <c r="BL57" s="344"/>
      <c r="BM57" s="344"/>
      <c r="BN57" s="344"/>
      <c r="BO57" s="344"/>
      <c r="BP57" s="344"/>
      <c r="BQ57" s="344"/>
      <c r="BR57" s="344"/>
      <c r="BS57" s="344"/>
      <c r="BT57" s="344"/>
      <c r="BU57" s="344"/>
      <c r="BV57" s="344"/>
      <c r="BW57" s="344"/>
      <c r="BX57" s="344"/>
      <c r="BY57" s="344"/>
      <c r="BZ57" s="344"/>
      <c r="CA57" s="344"/>
      <c r="CB57" s="344"/>
      <c r="CC57" s="344"/>
      <c r="CD57" s="344"/>
    </row>
    <row r="58" spans="1:82" s="5" customFormat="1" x14ac:dyDescent="0.2">
      <c r="A58" s="148" t="s">
        <v>151</v>
      </c>
      <c r="B58" s="234" t="s">
        <v>198</v>
      </c>
      <c r="C58" s="15" t="s">
        <v>160</v>
      </c>
      <c r="D58" s="15" t="s">
        <v>31</v>
      </c>
      <c r="E58" s="153"/>
      <c r="F58" s="166"/>
      <c r="G58" s="154"/>
      <c r="H58" s="11"/>
      <c r="I58" s="161">
        <v>0.58333333333333337</v>
      </c>
      <c r="J58" s="167" t="s">
        <v>244</v>
      </c>
      <c r="K58" s="160">
        <v>0.91666666666666663</v>
      </c>
      <c r="L58" s="9">
        <v>0.33333333333333331</v>
      </c>
      <c r="M58" s="166"/>
      <c r="N58" s="10">
        <v>0.70833333333333337</v>
      </c>
      <c r="O58" s="9">
        <v>0.33333333333333331</v>
      </c>
      <c r="P58" s="166"/>
      <c r="Q58" s="10">
        <v>0.70833333333333337</v>
      </c>
      <c r="R58" s="41" t="s">
        <v>82</v>
      </c>
      <c r="S58" s="177"/>
      <c r="T58" s="42"/>
      <c r="U58" s="9">
        <v>0.33333333333333331</v>
      </c>
      <c r="V58" s="166"/>
      <c r="W58" s="10">
        <v>0.70833333333333337</v>
      </c>
      <c r="X58" s="9">
        <v>0.33333333333333331</v>
      </c>
      <c r="Y58" s="166"/>
      <c r="Z58" s="10">
        <v>0.70833333333333337</v>
      </c>
      <c r="AA58" s="153"/>
      <c r="AB58" s="166"/>
      <c r="AC58" s="154"/>
      <c r="AD58" s="11"/>
      <c r="AE58" s="153"/>
      <c r="AF58" s="166"/>
      <c r="AG58" s="154"/>
      <c r="AH58" s="9">
        <v>0.33333333333333331</v>
      </c>
      <c r="AI58" s="166"/>
      <c r="AJ58" s="10">
        <v>0.70833333333333337</v>
      </c>
      <c r="AK58" s="9">
        <v>0.33333333333333331</v>
      </c>
      <c r="AL58" s="166"/>
      <c r="AM58" s="10">
        <v>0.70833333333333337</v>
      </c>
      <c r="AN58" s="9">
        <v>0.33333333333333331</v>
      </c>
      <c r="AO58" s="166"/>
      <c r="AP58" s="10">
        <v>0.70833333333333337</v>
      </c>
      <c r="AQ58" s="9">
        <v>0.33333333333333331</v>
      </c>
      <c r="AR58" s="166"/>
      <c r="AS58" s="10">
        <v>0.70833333333333337</v>
      </c>
      <c r="AT58" s="9">
        <v>0.33333333333333331</v>
      </c>
      <c r="AU58" s="166"/>
      <c r="AV58" s="10">
        <v>0.70833333333333337</v>
      </c>
      <c r="AW58" s="153"/>
      <c r="AX58" s="166"/>
      <c r="AY58" s="154"/>
      <c r="AZ58" s="11"/>
      <c r="BA58" s="9"/>
      <c r="BB58" s="166"/>
      <c r="BC58" s="10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</row>
    <row r="59" spans="1:82" s="40" customFormat="1" x14ac:dyDescent="0.2">
      <c r="A59" s="148" t="s">
        <v>108</v>
      </c>
      <c r="B59" s="234" t="s">
        <v>199</v>
      </c>
      <c r="C59" s="150" t="s">
        <v>72</v>
      </c>
      <c r="D59" s="150" t="s">
        <v>31</v>
      </c>
      <c r="E59" s="161">
        <v>0.58333333333333337</v>
      </c>
      <c r="F59" s="167" t="s">
        <v>244</v>
      </c>
      <c r="G59" s="160">
        <v>0.91666666666666663</v>
      </c>
      <c r="H59" s="149"/>
      <c r="I59" s="147"/>
      <c r="J59" s="166"/>
      <c r="K59" s="154"/>
      <c r="L59" s="153">
        <v>0.25</v>
      </c>
      <c r="M59" s="166" t="s">
        <v>125</v>
      </c>
      <c r="N59" s="154">
        <v>0.625</v>
      </c>
      <c r="O59" s="153">
        <v>0.25</v>
      </c>
      <c r="P59" s="166" t="s">
        <v>125</v>
      </c>
      <c r="Q59" s="154">
        <v>0.625</v>
      </c>
      <c r="R59" s="153">
        <v>0.25</v>
      </c>
      <c r="S59" s="166" t="s">
        <v>125</v>
      </c>
      <c r="T59" s="154">
        <v>0.625</v>
      </c>
      <c r="U59" s="153">
        <v>0.25</v>
      </c>
      <c r="V59" s="166" t="s">
        <v>125</v>
      </c>
      <c r="W59" s="154">
        <v>0.625</v>
      </c>
      <c r="X59" s="153">
        <v>0.25</v>
      </c>
      <c r="Y59" s="166" t="s">
        <v>125</v>
      </c>
      <c r="Z59" s="154">
        <v>0.625</v>
      </c>
      <c r="AA59" s="153"/>
      <c r="AB59" s="166"/>
      <c r="AC59" s="154"/>
      <c r="AD59" s="149"/>
      <c r="AE59" s="147"/>
      <c r="AF59" s="166"/>
      <c r="AG59" s="154"/>
      <c r="AH59" s="153">
        <v>0.25</v>
      </c>
      <c r="AI59" s="166" t="s">
        <v>125</v>
      </c>
      <c r="AJ59" s="154">
        <v>0.625</v>
      </c>
      <c r="AK59" s="153">
        <v>0.25</v>
      </c>
      <c r="AL59" s="166" t="s">
        <v>125</v>
      </c>
      <c r="AM59" s="154">
        <v>0.625</v>
      </c>
      <c r="AN59" s="153">
        <v>0.25</v>
      </c>
      <c r="AO59" s="166" t="s">
        <v>125</v>
      </c>
      <c r="AP59" s="154">
        <v>0.625</v>
      </c>
      <c r="AQ59" s="153">
        <v>0.25</v>
      </c>
      <c r="AR59" s="166" t="s">
        <v>125</v>
      </c>
      <c r="AS59" s="154">
        <v>0.625</v>
      </c>
      <c r="AT59" s="59" t="s">
        <v>7</v>
      </c>
      <c r="AU59" s="176"/>
      <c r="AV59" s="60"/>
      <c r="AW59" s="57" t="s">
        <v>16</v>
      </c>
      <c r="AX59" s="175"/>
      <c r="AY59" s="58"/>
      <c r="AZ59" s="147"/>
      <c r="BA59" s="57" t="s">
        <v>16</v>
      </c>
      <c r="BB59" s="175"/>
      <c r="BC59" s="58"/>
      <c r="BD59" s="324"/>
      <c r="BE59" s="324"/>
      <c r="BF59" s="324"/>
      <c r="BG59" s="324"/>
      <c r="BH59" s="324"/>
      <c r="BI59" s="324"/>
      <c r="BJ59" s="324"/>
      <c r="BK59" s="324"/>
      <c r="BL59" s="324"/>
      <c r="BM59" s="324"/>
      <c r="BN59" s="324"/>
      <c r="BO59" s="324"/>
      <c r="BP59" s="324"/>
      <c r="BQ59" s="324"/>
      <c r="BR59" s="324"/>
      <c r="BS59" s="324"/>
      <c r="BT59" s="324"/>
      <c r="BU59" s="324"/>
      <c r="BV59" s="324"/>
      <c r="BW59" s="324"/>
      <c r="BX59" s="324"/>
      <c r="BY59" s="324"/>
      <c r="BZ59" s="324"/>
      <c r="CA59" s="324"/>
      <c r="CB59" s="324"/>
      <c r="CC59" s="324"/>
      <c r="CD59" s="324"/>
    </row>
    <row r="60" spans="1:82" s="40" customFormat="1" x14ac:dyDescent="0.2">
      <c r="A60" s="56" t="s">
        <v>238</v>
      </c>
      <c r="B60" s="234" t="s">
        <v>239</v>
      </c>
      <c r="C60" s="150" t="s">
        <v>118</v>
      </c>
      <c r="D60" s="150" t="s">
        <v>39</v>
      </c>
      <c r="E60" s="57" t="s">
        <v>16</v>
      </c>
      <c r="F60" s="175"/>
      <c r="G60" s="58"/>
      <c r="H60" s="149"/>
      <c r="I60" s="57" t="s">
        <v>16</v>
      </c>
      <c r="J60" s="175"/>
      <c r="K60" s="58"/>
      <c r="L60" s="59" t="s">
        <v>7</v>
      </c>
      <c r="M60" s="176"/>
      <c r="N60" s="60"/>
      <c r="O60" s="59" t="s">
        <v>7</v>
      </c>
      <c r="P60" s="176"/>
      <c r="Q60" s="60"/>
      <c r="R60" s="59" t="s">
        <v>7</v>
      </c>
      <c r="S60" s="176"/>
      <c r="T60" s="60"/>
      <c r="U60" s="59" t="s">
        <v>7</v>
      </c>
      <c r="V60" s="176"/>
      <c r="W60" s="60"/>
      <c r="X60" s="59" t="s">
        <v>7</v>
      </c>
      <c r="Y60" s="176"/>
      <c r="Z60" s="60"/>
      <c r="AA60" s="57" t="s">
        <v>16</v>
      </c>
      <c r="AB60" s="175"/>
      <c r="AC60" s="58"/>
      <c r="AD60" s="149"/>
      <c r="AE60" s="57" t="s">
        <v>16</v>
      </c>
      <c r="AF60" s="175"/>
      <c r="AG60" s="58"/>
      <c r="AH60" s="17">
        <v>0.375</v>
      </c>
      <c r="AI60" s="169"/>
      <c r="AJ60" s="155">
        <v>0.75</v>
      </c>
      <c r="AK60" s="17">
        <v>0.375</v>
      </c>
      <c r="AL60" s="169"/>
      <c r="AM60" s="155">
        <v>0.75</v>
      </c>
      <c r="AN60" s="17">
        <v>0.375</v>
      </c>
      <c r="AO60" s="169"/>
      <c r="AP60" s="155">
        <v>0.75</v>
      </c>
      <c r="AQ60" s="17">
        <v>0.375</v>
      </c>
      <c r="AR60" s="169"/>
      <c r="AS60" s="155">
        <v>0.75</v>
      </c>
      <c r="AT60" s="17">
        <v>0.375</v>
      </c>
      <c r="AU60" s="169"/>
      <c r="AV60" s="155">
        <v>0.75</v>
      </c>
      <c r="AW60" s="17"/>
      <c r="AX60" s="169"/>
      <c r="AY60" s="155"/>
      <c r="AZ60" s="149"/>
      <c r="BA60" s="39"/>
      <c r="BB60" s="169"/>
      <c r="BC60" s="155"/>
      <c r="BD60" s="332"/>
      <c r="BE60" s="332"/>
      <c r="BF60" s="332"/>
      <c r="BG60" s="332"/>
      <c r="BH60" s="332"/>
      <c r="BI60" s="332"/>
      <c r="BJ60" s="332"/>
      <c r="BK60" s="332"/>
      <c r="BL60" s="332"/>
      <c r="BM60" s="332"/>
      <c r="BN60" s="332"/>
      <c r="BO60" s="332"/>
      <c r="BP60" s="332"/>
      <c r="BQ60" s="332"/>
      <c r="BR60" s="332"/>
      <c r="BS60" s="332"/>
      <c r="BT60" s="332"/>
      <c r="BU60" s="332"/>
      <c r="BV60" s="332"/>
      <c r="BW60" s="332"/>
      <c r="BX60" s="332"/>
      <c r="BY60" s="332"/>
      <c r="BZ60" s="332"/>
      <c r="CA60" s="332"/>
      <c r="CB60" s="332"/>
      <c r="CC60" s="332"/>
      <c r="CD60" s="332"/>
    </row>
    <row r="61" spans="1:82" s="40" customFormat="1" x14ac:dyDescent="0.2">
      <c r="A61" s="56" t="s">
        <v>250</v>
      </c>
      <c r="B61" s="234" t="s">
        <v>251</v>
      </c>
      <c r="C61" s="150" t="s">
        <v>72</v>
      </c>
      <c r="D61" s="150" t="s">
        <v>39</v>
      </c>
      <c r="E61" s="153"/>
      <c r="F61" s="166"/>
      <c r="G61" s="154"/>
      <c r="H61" s="149"/>
      <c r="I61" s="147"/>
      <c r="J61" s="166"/>
      <c r="K61" s="154"/>
      <c r="L61" s="153">
        <v>0.29166666666666669</v>
      </c>
      <c r="M61" s="166"/>
      <c r="N61" s="154">
        <v>0.66666666666666663</v>
      </c>
      <c r="O61" s="153">
        <v>0.29166666666666669</v>
      </c>
      <c r="P61" s="166"/>
      <c r="Q61" s="154">
        <v>0.66666666666666663</v>
      </c>
      <c r="R61" s="153">
        <v>0.29166666666666669</v>
      </c>
      <c r="S61" s="166"/>
      <c r="T61" s="154">
        <v>0.66666666666666663</v>
      </c>
      <c r="U61" s="153">
        <v>0.29166666666666669</v>
      </c>
      <c r="V61" s="166"/>
      <c r="W61" s="154">
        <v>0.66666666666666663</v>
      </c>
      <c r="X61" s="153">
        <v>0.29166666666666669</v>
      </c>
      <c r="Y61" s="166"/>
      <c r="Z61" s="154">
        <v>0.66666666666666663</v>
      </c>
      <c r="AA61" s="153"/>
      <c r="AB61" s="166"/>
      <c r="AC61" s="154"/>
      <c r="AD61" s="147"/>
      <c r="AE61" s="153"/>
      <c r="AF61" s="166"/>
      <c r="AG61" s="154"/>
      <c r="AH61" s="153">
        <v>0.29166666666666669</v>
      </c>
      <c r="AI61" s="166"/>
      <c r="AJ61" s="154">
        <v>0.66666666666666663</v>
      </c>
      <c r="AK61" s="153">
        <v>0.29166666666666669</v>
      </c>
      <c r="AL61" s="166"/>
      <c r="AM61" s="154">
        <v>0.66666666666666663</v>
      </c>
      <c r="AN61" s="153">
        <v>0.29166666666666669</v>
      </c>
      <c r="AO61" s="166"/>
      <c r="AP61" s="154">
        <v>0.66666666666666663</v>
      </c>
      <c r="AQ61" s="153">
        <v>0.29166666666666669</v>
      </c>
      <c r="AR61" s="166"/>
      <c r="AS61" s="154">
        <v>0.66666666666666663</v>
      </c>
      <c r="AT61" s="153">
        <v>0.29166666666666669</v>
      </c>
      <c r="AU61" s="166"/>
      <c r="AV61" s="154">
        <v>0.66666666666666663</v>
      </c>
      <c r="AW61" s="153"/>
      <c r="AX61" s="166"/>
      <c r="AY61" s="154"/>
      <c r="AZ61" s="149"/>
      <c r="BA61" s="147"/>
      <c r="BB61" s="166"/>
      <c r="BC61" s="154"/>
      <c r="BD61" s="281"/>
      <c r="BE61" s="281"/>
      <c r="BF61" s="281"/>
      <c r="BG61" s="281"/>
      <c r="BH61" s="281"/>
      <c r="BI61" s="281"/>
      <c r="BJ61" s="281"/>
      <c r="BK61" s="281"/>
      <c r="BL61" s="281"/>
      <c r="BM61" s="281"/>
      <c r="BN61" s="281"/>
      <c r="BO61" s="281"/>
      <c r="BP61" s="281"/>
      <c r="BQ61" s="281"/>
      <c r="BR61" s="281"/>
      <c r="BS61" s="281"/>
      <c r="BT61" s="281"/>
      <c r="BU61" s="281"/>
      <c r="BV61" s="281"/>
      <c r="BW61" s="281"/>
      <c r="BX61" s="281"/>
      <c r="BY61" s="281"/>
      <c r="BZ61" s="281"/>
      <c r="CA61" s="281"/>
      <c r="CB61" s="281"/>
      <c r="CC61" s="281"/>
      <c r="CD61" s="281"/>
    </row>
    <row r="62" spans="1:82" s="40" customFormat="1" ht="2.25" customHeight="1" x14ac:dyDescent="0.2">
      <c r="A62" s="20"/>
      <c r="B62" s="148"/>
      <c r="C62" s="15"/>
      <c r="D62" s="15"/>
      <c r="E62" s="9"/>
      <c r="F62" s="166"/>
      <c r="G62" s="10"/>
      <c r="H62" s="16"/>
      <c r="I62" s="9"/>
      <c r="J62" s="166"/>
      <c r="K62" s="10"/>
      <c r="L62" s="9"/>
      <c r="M62" s="166"/>
      <c r="N62" s="10"/>
      <c r="O62" s="9"/>
      <c r="P62" s="166"/>
      <c r="Q62" s="10"/>
      <c r="R62" s="9"/>
      <c r="S62" s="166"/>
      <c r="T62" s="10"/>
      <c r="U62" s="9"/>
      <c r="V62" s="166"/>
      <c r="W62" s="10"/>
      <c r="X62" s="9"/>
      <c r="Y62" s="166"/>
      <c r="Z62" s="10"/>
      <c r="AA62" s="9"/>
      <c r="AB62" s="166"/>
      <c r="AC62" s="10"/>
      <c r="AD62" s="16"/>
      <c r="AE62" s="9"/>
      <c r="AF62" s="166"/>
      <c r="AG62" s="10"/>
      <c r="AH62" s="9"/>
      <c r="AI62" s="166"/>
      <c r="AJ62" s="10"/>
      <c r="AK62" s="9"/>
      <c r="AL62" s="166"/>
      <c r="AM62" s="10"/>
      <c r="AN62" s="9"/>
      <c r="AO62" s="166"/>
      <c r="AP62" s="10"/>
      <c r="AQ62" s="9"/>
      <c r="AR62" s="166"/>
      <c r="AS62" s="10"/>
      <c r="AT62" s="9"/>
      <c r="AU62" s="166"/>
      <c r="AV62" s="10"/>
      <c r="AW62" s="9"/>
      <c r="AX62" s="166"/>
      <c r="AY62" s="10"/>
      <c r="AZ62" s="16"/>
      <c r="BA62" s="9"/>
      <c r="BB62" s="166"/>
      <c r="BC62" s="10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</row>
    <row r="63" spans="1:82" s="124" customFormat="1" ht="21.75" customHeight="1" x14ac:dyDescent="0.2">
      <c r="A63" s="125" t="s">
        <v>95</v>
      </c>
      <c r="B63" s="300"/>
      <c r="C63" s="126"/>
      <c r="D63" s="128">
        <f>SUBTOTAL(3,D4:D61)</f>
        <v>55</v>
      </c>
      <c r="E63" s="390">
        <f>SUBTOTAL(3,G4:G63)</f>
        <v>7</v>
      </c>
      <c r="F63" s="391"/>
      <c r="G63" s="392"/>
      <c r="H63" s="127"/>
      <c r="I63" s="390">
        <f>SUBTOTAL(3,K4:K63)</f>
        <v>9</v>
      </c>
      <c r="J63" s="391"/>
      <c r="K63" s="392"/>
      <c r="L63" s="390">
        <f>SUBTOTAL(3,N4:N63)</f>
        <v>48</v>
      </c>
      <c r="M63" s="391"/>
      <c r="N63" s="392"/>
      <c r="O63" s="390">
        <f>SUBTOTAL(3,Q4:Q63)</f>
        <v>46</v>
      </c>
      <c r="P63" s="391"/>
      <c r="Q63" s="392"/>
      <c r="R63" s="390">
        <f>SUBTOTAL(3,T4:T63)</f>
        <v>46</v>
      </c>
      <c r="S63" s="391"/>
      <c r="T63" s="392"/>
      <c r="U63" s="390">
        <f>SUBTOTAL(3,W4:W63)</f>
        <v>46</v>
      </c>
      <c r="V63" s="391"/>
      <c r="W63" s="392"/>
      <c r="X63" s="390">
        <f>SUBTOTAL(3,Z4:Z63)</f>
        <v>43</v>
      </c>
      <c r="Y63" s="391"/>
      <c r="Z63" s="392"/>
      <c r="AA63" s="390">
        <f>SUBTOTAL(3,AC4:AC63)</f>
        <v>6</v>
      </c>
      <c r="AB63" s="391"/>
      <c r="AC63" s="392"/>
      <c r="AD63" s="127"/>
      <c r="AE63" s="390">
        <f>SUBTOTAL(3,AG4:AG63)</f>
        <v>9</v>
      </c>
      <c r="AF63" s="391"/>
      <c r="AG63" s="392"/>
      <c r="AH63" s="390">
        <f>SUBTOTAL(3,AJ4:AJ63)</f>
        <v>46</v>
      </c>
      <c r="AI63" s="391"/>
      <c r="AJ63" s="392"/>
      <c r="AK63" s="390">
        <f>SUBTOTAL(3,AM4:AM63)</f>
        <v>45</v>
      </c>
      <c r="AL63" s="391"/>
      <c r="AM63" s="392"/>
      <c r="AN63" s="390">
        <f>SUBTOTAL(3,AP4:AP63)</f>
        <v>47</v>
      </c>
      <c r="AO63" s="391"/>
      <c r="AP63" s="392"/>
      <c r="AQ63" s="390">
        <f>SUBTOTAL(3,AS4:AS63)</f>
        <v>43</v>
      </c>
      <c r="AR63" s="391"/>
      <c r="AS63" s="392"/>
      <c r="AT63" s="390">
        <f>SUBTOTAL(3,AV4:AV63)</f>
        <v>39</v>
      </c>
      <c r="AU63" s="391"/>
      <c r="AV63" s="392"/>
      <c r="AW63" s="390">
        <f>SUBTOTAL(3,AY4:AY63)</f>
        <v>6</v>
      </c>
      <c r="AX63" s="391"/>
      <c r="AY63" s="392"/>
      <c r="AZ63" s="127"/>
      <c r="BA63" s="390">
        <f>SUBTOTAL(3,BC4:BC63)</f>
        <v>9</v>
      </c>
      <c r="BB63" s="391"/>
      <c r="BC63" s="392"/>
      <c r="BD63" s="123"/>
      <c r="BE63" s="123"/>
      <c r="BF63" s="123"/>
      <c r="BG63" s="123"/>
      <c r="BH63" s="123"/>
      <c r="BI63" s="123"/>
      <c r="BJ63" s="123"/>
      <c r="BK63" s="123"/>
      <c r="BL63" s="123"/>
      <c r="BM63" s="123"/>
      <c r="BN63" s="123"/>
      <c r="BO63" s="123"/>
      <c r="BP63" s="123"/>
      <c r="BQ63" s="123"/>
      <c r="BR63" s="123"/>
      <c r="BS63" s="123"/>
      <c r="BT63" s="123"/>
      <c r="BU63" s="123"/>
      <c r="BV63" s="123"/>
      <c r="BW63" s="123"/>
      <c r="BX63" s="123"/>
      <c r="BY63" s="123"/>
      <c r="BZ63" s="123"/>
      <c r="CA63" s="123"/>
      <c r="CB63" s="123"/>
      <c r="CC63" s="123"/>
      <c r="CD63" s="123"/>
    </row>
    <row r="64" spans="1:82" s="124" customFormat="1" x14ac:dyDescent="0.2">
      <c r="A64" s="131" t="s">
        <v>94</v>
      </c>
      <c r="B64" s="301"/>
      <c r="C64" s="132"/>
      <c r="D64" s="133"/>
      <c r="E64" s="129"/>
      <c r="F64" s="170"/>
      <c r="G64" s="129"/>
      <c r="H64" s="130"/>
      <c r="I64" s="129"/>
      <c r="J64" s="170"/>
      <c r="K64" s="129"/>
      <c r="L64" s="132">
        <f>SUM($L$63:$Z$63)</f>
        <v>229</v>
      </c>
      <c r="M64" s="185"/>
      <c r="N64" s="129"/>
      <c r="O64" s="129"/>
      <c r="P64" s="170"/>
      <c r="Q64" s="129"/>
      <c r="R64" s="129"/>
      <c r="S64" s="170"/>
      <c r="T64" s="129"/>
      <c r="U64" s="129"/>
      <c r="V64" s="170"/>
      <c r="W64" s="129"/>
      <c r="X64" s="129"/>
      <c r="Y64" s="170"/>
      <c r="Z64" s="129"/>
      <c r="AA64" s="129"/>
      <c r="AB64" s="170"/>
      <c r="AC64" s="129"/>
      <c r="AD64" s="130"/>
      <c r="AE64" s="129"/>
      <c r="AF64" s="170"/>
      <c r="AG64" s="129"/>
      <c r="AH64" s="133">
        <f>SUM($AH$63:$AV$63)</f>
        <v>220</v>
      </c>
      <c r="AI64" s="186"/>
      <c r="AJ64" s="129"/>
      <c r="AK64" s="129"/>
      <c r="AL64" s="170"/>
      <c r="AM64" s="129"/>
      <c r="AN64" s="129"/>
      <c r="AO64" s="170"/>
      <c r="AP64" s="129"/>
      <c r="AQ64" s="129"/>
      <c r="AR64" s="170"/>
      <c r="AS64" s="129"/>
      <c r="AT64" s="129"/>
      <c r="AU64" s="170"/>
      <c r="AV64" s="129"/>
      <c r="AW64" s="129"/>
      <c r="AX64" s="170"/>
      <c r="AY64" s="129"/>
      <c r="AZ64" s="130"/>
      <c r="BA64" s="129"/>
      <c r="BB64" s="170"/>
      <c r="BC64" s="129"/>
      <c r="BD64" s="123"/>
      <c r="BE64" s="123"/>
      <c r="BF64" s="123"/>
      <c r="BG64" s="123"/>
      <c r="BH64" s="123"/>
      <c r="BI64" s="123"/>
      <c r="BJ64" s="123"/>
      <c r="BK64" s="123"/>
      <c r="BL64" s="123"/>
      <c r="BM64" s="123"/>
      <c r="BN64" s="123"/>
      <c r="BO64" s="123"/>
      <c r="BP64" s="123"/>
      <c r="BQ64" s="123"/>
      <c r="BR64" s="123"/>
      <c r="BS64" s="123"/>
      <c r="BT64" s="123"/>
      <c r="BU64" s="123"/>
      <c r="BV64" s="123"/>
      <c r="BW64" s="123"/>
      <c r="BX64" s="123"/>
      <c r="BY64" s="123"/>
      <c r="BZ64" s="123"/>
      <c r="CA64" s="123"/>
      <c r="CB64" s="123"/>
      <c r="CC64" s="123"/>
      <c r="CD64" s="123"/>
    </row>
    <row r="65" spans="1:82" s="124" customFormat="1" x14ac:dyDescent="0.2">
      <c r="A65" s="131" t="s">
        <v>116</v>
      </c>
      <c r="B65" s="131"/>
      <c r="C65" s="132"/>
      <c r="D65" s="133"/>
      <c r="E65" s="394"/>
      <c r="F65" s="394"/>
      <c r="G65" s="394"/>
      <c r="H65" s="130"/>
      <c r="I65" s="394"/>
      <c r="J65" s="394"/>
      <c r="K65" s="394"/>
      <c r="L65" s="396"/>
      <c r="M65" s="396"/>
      <c r="N65" s="396"/>
      <c r="O65" s="394"/>
      <c r="P65" s="394"/>
      <c r="Q65" s="394"/>
      <c r="R65" s="394"/>
      <c r="S65" s="394"/>
      <c r="T65" s="394"/>
      <c r="U65" s="394"/>
      <c r="V65" s="394"/>
      <c r="W65" s="394"/>
      <c r="X65" s="394"/>
      <c r="Y65" s="394"/>
      <c r="Z65" s="394"/>
      <c r="AA65" s="394"/>
      <c r="AB65" s="394"/>
      <c r="AC65" s="394"/>
      <c r="AD65" s="130"/>
      <c r="AE65" s="394"/>
      <c r="AF65" s="394"/>
      <c r="AG65" s="394"/>
      <c r="AH65" s="395"/>
      <c r="AI65" s="395"/>
      <c r="AJ65" s="395"/>
      <c r="AK65" s="394"/>
      <c r="AL65" s="394"/>
      <c r="AM65" s="394"/>
      <c r="AN65" s="394"/>
      <c r="AO65" s="394"/>
      <c r="AP65" s="394"/>
      <c r="AQ65" s="394"/>
      <c r="AR65" s="394"/>
      <c r="AS65" s="394"/>
      <c r="AT65" s="394"/>
      <c r="AU65" s="394"/>
      <c r="AV65" s="394"/>
      <c r="AW65" s="394"/>
      <c r="AX65" s="394"/>
      <c r="AY65" s="394"/>
      <c r="AZ65" s="130"/>
      <c r="BA65" s="394"/>
      <c r="BB65" s="394"/>
      <c r="BC65" s="394"/>
      <c r="BD65" s="123"/>
      <c r="BE65" s="123"/>
      <c r="BF65" s="123"/>
      <c r="BG65" s="123"/>
      <c r="BH65" s="123"/>
      <c r="BI65" s="123"/>
      <c r="BJ65" s="123"/>
      <c r="BK65" s="123"/>
      <c r="BL65" s="123"/>
      <c r="BM65" s="123"/>
      <c r="BN65" s="123"/>
      <c r="BO65" s="123"/>
      <c r="BP65" s="123"/>
      <c r="BQ65" s="123"/>
      <c r="BR65" s="123"/>
      <c r="BS65" s="123"/>
      <c r="BT65" s="123"/>
      <c r="BU65" s="123"/>
      <c r="BV65" s="123"/>
      <c r="BW65" s="123"/>
      <c r="BX65" s="123"/>
      <c r="BY65" s="123"/>
      <c r="BZ65" s="123"/>
      <c r="CA65" s="123"/>
      <c r="CB65" s="123"/>
      <c r="CC65" s="123"/>
      <c r="CD65" s="123"/>
    </row>
    <row r="66" spans="1:82" ht="21.75" customHeight="1" thickBot="1" x14ac:dyDescent="0.25">
      <c r="A66" s="24"/>
      <c r="B66" s="24"/>
      <c r="C66" s="23"/>
      <c r="D66"/>
      <c r="E66"/>
      <c r="F66" s="171"/>
      <c r="G66"/>
      <c r="H66"/>
      <c r="I66"/>
      <c r="J66" s="171"/>
      <c r="K66"/>
      <c r="L66"/>
      <c r="M66" s="171"/>
      <c r="N66"/>
      <c r="O66"/>
      <c r="P66" s="171"/>
      <c r="Q66"/>
      <c r="R66"/>
      <c r="S66" s="171"/>
      <c r="T66"/>
      <c r="U66"/>
      <c r="V66" s="171"/>
      <c r="W66"/>
      <c r="X66"/>
      <c r="Y66" s="171"/>
      <c r="Z66"/>
      <c r="AA66"/>
      <c r="AB66" s="171"/>
      <c r="AC66"/>
      <c r="AD66"/>
      <c r="AE66"/>
      <c r="AF66" s="171"/>
      <c r="AG66"/>
      <c r="AH66"/>
      <c r="AI66" s="171"/>
      <c r="AJ66"/>
      <c r="AK66"/>
      <c r="AL66" s="171"/>
      <c r="AM66"/>
      <c r="AN66"/>
      <c r="AO66" s="171"/>
      <c r="AP66"/>
      <c r="AQ66"/>
      <c r="AR66" s="171"/>
      <c r="AS66"/>
      <c r="AT66"/>
      <c r="AU66" s="171"/>
      <c r="AV66"/>
      <c r="AW66"/>
      <c r="AX66" s="171"/>
      <c r="AY66"/>
      <c r="AZ66"/>
      <c r="BA66"/>
      <c r="BB66" s="171"/>
      <c r="BC66"/>
      <c r="BD66"/>
      <c r="BE66"/>
      <c r="BF66"/>
      <c r="BG66" s="38"/>
    </row>
    <row r="67" spans="1:82" x14ac:dyDescent="0.2">
      <c r="A67" s="27" t="s">
        <v>16</v>
      </c>
      <c r="B67" s="27"/>
      <c r="C67" s="28"/>
      <c r="D67"/>
      <c r="E67" s="333" t="s">
        <v>102</v>
      </c>
      <c r="F67" s="334"/>
      <c r="G67" s="335">
        <f>COUNTIFS(E$4:E$61,"6:00 AM",$D4:$D61,"&lt;&gt;L3")+COUNTIFS(E$4:E$61,"6AM-2PM",$D$4:$D$61,"&lt;&gt;L3")</f>
        <v>2</v>
      </c>
      <c r="H67"/>
      <c r="I67" s="134" t="s">
        <v>102</v>
      </c>
      <c r="J67" s="168"/>
      <c r="K67" s="136">
        <f>COUNTIFS(I$4:I$61,"6:00 AM",$D4:$D61,"&lt;&gt;L3")+COUNTIFS(I$4:I$61,"6AM-2PM",$D$4:$D$61,"&lt;&gt;L3")</f>
        <v>2</v>
      </c>
      <c r="L67" s="9">
        <v>0.25</v>
      </c>
      <c r="M67" s="166"/>
      <c r="N67" s="136">
        <f>COUNTIFS(L$4:L$61,L67,$D$4:$D$61,"&lt;&gt;L3",$D$4:$D$61,"&lt;&gt;SS")+COUNTIFS(L$4:L$61,"6:30 AM",$D$4:$D$61,"&lt;&gt;L3",$D$4:$D$61,"&lt;&gt;SS")</f>
        <v>9</v>
      </c>
      <c r="O67" s="9">
        <v>0.25</v>
      </c>
      <c r="P67" s="166"/>
      <c r="Q67" s="136">
        <f>COUNTIFS(O$4:O$61,O67,$D$4:$D$61,"&lt;&gt;L3",$D$4:$D$61,"&lt;&gt;SS")+COUNTIFS(O$4:O$61,"6:30 AM",$D$4:$D$61,"&lt;&gt;L3",$D$4:$D$61,"&lt;&gt;SS")</f>
        <v>8</v>
      </c>
      <c r="R67" s="9">
        <v>0.25</v>
      </c>
      <c r="S67" s="166"/>
      <c r="T67" s="136">
        <f>COUNTIFS(R$4:R$61,R67,$D$4:$D$61,"&lt;&gt;L3",$D$4:$D$61,"&lt;&gt;SS")+COUNTIFS(R$4:R$61,"6:30 AM",$D$4:$D$61,"&lt;&gt;L3",$D$4:$D$61,"&lt;&gt;SS")</f>
        <v>9</v>
      </c>
      <c r="U67" s="9">
        <v>0.25</v>
      </c>
      <c r="V67" s="166"/>
      <c r="W67" s="136">
        <f>COUNTIFS(U$4:U$61,U67,$D$4:$D$61,"&lt;&gt;L3",$D$4:$D$61,"&lt;&gt;SS")+COUNTIFS(U$4:U$61,"6:30 AM",$D$4:$D$61,"&lt;&gt;L3",$D$4:$D$61,"&lt;&gt;SS")</f>
        <v>8</v>
      </c>
      <c r="X67" s="9">
        <v>0.25</v>
      </c>
      <c r="Y67" s="166"/>
      <c r="Z67" s="136">
        <f>COUNTIFS(X$4:X$61,X67,$D$4:$D$61,"&lt;&gt;L3",$D$4:$D$61,"&lt;&gt;SS")+COUNTIFS(X$4:X$61,"6:30 AM",$D$4:$D$61,"&lt;&gt;L3",$D$4:$D$61,"&lt;&gt;SS")</f>
        <v>8</v>
      </c>
      <c r="AA67" s="134" t="s">
        <v>102</v>
      </c>
      <c r="AB67" s="168"/>
      <c r="AC67" s="136">
        <f>COUNTIFS(AA$4:AA$61,"6:00 AM",$D4:$D61,"&lt;&gt;L3")+COUNTIFS(AA$4:AA$61,"6AM-2PM",$D$4:$D$61,"&lt;&gt;L3")</f>
        <v>2</v>
      </c>
      <c r="AD67"/>
      <c r="AE67" s="134" t="s">
        <v>102</v>
      </c>
      <c r="AF67" s="168"/>
      <c r="AG67" s="136">
        <f>COUNTIFS(AE$4:AE$61,"6:00 AM",$D4:$D61,"&lt;&gt;L3")+COUNTIFS(AE$4:AE$61,"6AM-2PM",$D$4:$D$61,"&lt;&gt;L3")</f>
        <v>2</v>
      </c>
      <c r="AH67" s="153">
        <v>0.25</v>
      </c>
      <c r="AI67" s="166"/>
      <c r="AJ67" s="136">
        <f>COUNTIFS(AH$4:AH$61,AH67,$D$4:$D$61,"&lt;&gt;L3",$D$4:$D$61,"&lt;&gt;SS")+COUNTIFS(AH$4:AH$61,"6:30 AM",$D$4:$D$61,"&lt;&gt;L3",$D$4:$D$61,"&lt;&gt;SS")</f>
        <v>9</v>
      </c>
      <c r="AK67" s="153">
        <v>0.25</v>
      </c>
      <c r="AL67" s="166"/>
      <c r="AM67" s="136">
        <f>COUNTIFS(AK$4:AK$61,AK67,$D$4:$D$61,"&lt;&gt;L3",$D$4:$D$61,"&lt;&gt;SS")+COUNTIFS(AK$4:AK$61,"6:30 AM",$D$4:$D$61,"&lt;&gt;L3",$D$4:$D$61,"&lt;&gt;SS")</f>
        <v>9</v>
      </c>
      <c r="AN67" s="153">
        <v>0.25</v>
      </c>
      <c r="AO67" s="166"/>
      <c r="AP67" s="136">
        <f>COUNTIFS(AN$4:AN$61,AN67,$D$4:$D$61,"&lt;&gt;L3",$D$4:$D$61,"&lt;&gt;SS")+COUNTIFS(AN$4:AN$61,"6:30 AM",$D$4:$D$61,"&lt;&gt;L3",$D$4:$D$61,"&lt;&gt;SS")</f>
        <v>7</v>
      </c>
      <c r="AQ67" s="153">
        <v>0.25</v>
      </c>
      <c r="AR67" s="166"/>
      <c r="AS67" s="136">
        <f>COUNTIFS(AQ$4:AQ$61,AQ67,$D$4:$D$61,"&lt;&gt;L3",$D$4:$D$61,"&lt;&gt;SS")+COUNTIFS(AQ$4:AQ$61,"6:30 AM",$D$4:$D$61,"&lt;&gt;L3",$D$4:$D$61,"&lt;&gt;SS")</f>
        <v>9</v>
      </c>
      <c r="AT67" s="153">
        <v>0.25</v>
      </c>
      <c r="AU67" s="166"/>
      <c r="AV67" s="136">
        <f>COUNTIFS(AT$4:AT$61,AT67,$D$4:$D$61,"&lt;&gt;L3",$D$4:$D$61,"&lt;&gt;SS")+COUNTIFS(AT$4:AT$61,"6:30 AM",$D$4:$D$61,"&lt;&gt;L3",$D$4:$D$61,"&lt;&gt;SS")</f>
        <v>7</v>
      </c>
      <c r="AW67" s="134" t="s">
        <v>102</v>
      </c>
      <c r="AX67" s="168"/>
      <c r="AY67" s="136">
        <f>COUNTIFS(AW$4:AW$61,"6:00 AM",$D4:$D61,"&lt;&gt;L3")+COUNTIFS(AW$4:AW$61,"6AM-2PM",$D$4:$D$61,"&lt;&gt;L3")</f>
        <v>2</v>
      </c>
      <c r="AZ67"/>
      <c r="BA67" s="134" t="s">
        <v>102</v>
      </c>
      <c r="BB67" s="168"/>
      <c r="BC67" s="136">
        <f>COUNTIFS(BA$4:BA$61,"6:00 AM",$D4:$D61,"&lt;&gt;L3")+COUNTIFS(BA$4:BA$61,"6AM-2PM",$D$4:$D$61,"&lt;&gt;L3")</f>
        <v>2</v>
      </c>
      <c r="BD67"/>
      <c r="BE67"/>
      <c r="BF67"/>
      <c r="BG67" s="38"/>
    </row>
    <row r="68" spans="1:82" x14ac:dyDescent="0.2">
      <c r="A68" s="27" t="s">
        <v>19</v>
      </c>
      <c r="B68" s="27"/>
      <c r="C68" s="29"/>
      <c r="D68"/>
      <c r="E68" s="135" t="s">
        <v>103</v>
      </c>
      <c r="F68" s="172"/>
      <c r="G68" s="136">
        <f>COUNTIFS(E$4:E$61,"7:00 AM",$D$4:$D$61,"&lt;&gt;L3")+COUNTIFS(E$4:E$61,"8:00 AM",$D$4:$D$61,"&lt;&gt;L3")+COUNTIFS(E$4:E$61,"9:00 AM",$D$4:$D$61,"&lt;&gt;L3")+COUNTIFS(E$4:E$61,"10:00 AM",$D$4:$D$61,"&lt;&gt;L3")+COUNTIFS(E$4:E$61,"11:00 AM",$D$4:$D$61,"&lt;&gt;L3")+COUNTIFS(E$4:E$61,"12:00 AM",$D$4:$D$61,"&lt;&gt;L3")</f>
        <v>2</v>
      </c>
      <c r="H68"/>
      <c r="I68" s="135" t="s">
        <v>103</v>
      </c>
      <c r="J68" s="172"/>
      <c r="K68" s="136">
        <f>COUNTIFS(I$4:I$61,"7:00 AM",$D$4:$D$61,"&lt;&gt;L3")+COUNTIFS(I$4:I$61,"8:00 AM",$D$4:$D$61,"&lt;&gt;L3")+COUNTIFS(I$4:I$61,"9:00 AM",$D$4:$D$61,"&lt;&gt;L3")+COUNTIFS(I$4:I$61,"10:00 AM",$D$4:$D$61,"&lt;&gt;L3")+COUNTIFS(I$4:I$61,"11:00 AM",$D$4:$D$61,"&lt;&gt;L3")+COUNTIFS(I$4:I$61,"12:00 AM",$D$4:$D$61,"&lt;&gt;L3")</f>
        <v>2</v>
      </c>
      <c r="L68" s="54">
        <v>0.29166666666666669</v>
      </c>
      <c r="M68" s="166"/>
      <c r="N68" s="136">
        <f>COUNTIFS(L$4:L$61,L68,$D$4:$D$61,"&lt;&gt;L3",$D$4:$D$61,"&lt;&gt;SS")+COUNTIFS(L$4:L$61,"7:30 AM",$D$4:$D$61,"&lt;&gt;L3",$D$4:$D$61,"&lt;&gt;SS")</f>
        <v>8</v>
      </c>
      <c r="O68" s="54">
        <v>0.29166666666666669</v>
      </c>
      <c r="P68" s="166"/>
      <c r="Q68" s="136">
        <f>COUNTIFS(O$4:O$61,O68,$D$4:$D$61,"&lt;&gt;L3",$D$4:$D$61,"&lt;&gt;SS")+COUNTIFS(O$4:O$61,"7:30 AM",$D$4:$D$61,"&lt;&gt;L3",$D$4:$D$61,"&lt;&gt;SS")</f>
        <v>8</v>
      </c>
      <c r="R68" s="54">
        <v>0.29166666666666669</v>
      </c>
      <c r="S68" s="166"/>
      <c r="T68" s="136">
        <f>COUNTIFS(R$4:R$61,R68,$D$4:$D$61,"&lt;&gt;L3",$D$4:$D$61,"&lt;&gt;SS")+COUNTIFS(R$4:R$61,"7:30 AM",$D$4:$D$61,"&lt;&gt;L3",$D$4:$D$61,"&lt;&gt;SS")</f>
        <v>8</v>
      </c>
      <c r="U68" s="54">
        <v>0.29166666666666669</v>
      </c>
      <c r="V68" s="166"/>
      <c r="W68" s="136">
        <f>COUNTIFS(U$4:U$61,U68,$D$4:$D$61,"&lt;&gt;L3",$D$4:$D$61,"&lt;&gt;SS")+COUNTIFS(U$4:U$61,"7:30 AM",$D$4:$D$61,"&lt;&gt;L3",$D$4:$D$61,"&lt;&gt;SS")</f>
        <v>7</v>
      </c>
      <c r="X68" s="54">
        <v>0.29166666666666669</v>
      </c>
      <c r="Y68" s="166"/>
      <c r="Z68" s="136">
        <f>COUNTIFS(X$4:X$61,X68,$D$4:$D$61,"&lt;&gt;L3",$D$4:$D$61,"&lt;&gt;SS")+COUNTIFS(X$4:X$61,"7:30 AM",$D$4:$D$61,"&lt;&gt;L3",$D$4:$D$61,"&lt;&gt;SS")</f>
        <v>7</v>
      </c>
      <c r="AA68" s="135" t="s">
        <v>103</v>
      </c>
      <c r="AB68" s="172"/>
      <c r="AC68" s="136">
        <f>COUNTIFS(AA$4:AA$61,"7:00 AM",$D$4:$D$61,"&lt;&gt;L3")+COUNTIFS(AA$4:AA$61,"8:00 AM",$D$4:$D$61,"&lt;&gt;L3")+COUNTIFS(AA$4:AA$61,"9:00 AM",$D$4:$D$61,"&lt;&gt;L3")+COUNTIFS(AA$4:AA$61,"10:00 AM",$D$4:$D$61,"&lt;&gt;L3")+COUNTIFS(AA$4:AA$61,"11:00 AM",$D$4:$D$61,"&lt;&gt;L3")+COUNTIFS(AA$4:AA$61,"12:00 AM",$D$4:$D$61,"&lt;&gt;L3")</f>
        <v>2</v>
      </c>
      <c r="AD68"/>
      <c r="AE68" s="135" t="s">
        <v>103</v>
      </c>
      <c r="AF68" s="172"/>
      <c r="AG68" s="136">
        <f>COUNTIFS(AE$4:AE$61,"7:00 AM",$D$4:$D$61,"&lt;&gt;L3")+COUNTIFS(AE$4:AE$61,"8:00 AM",$D$4:$D$61,"&lt;&gt;L3")+COUNTIFS(AE$4:AE$61,"9:00 AM",$D$4:$D$61,"&lt;&gt;L3")+COUNTIFS(AE$4:AE$61,"10:00 AM",$D$4:$D$61,"&lt;&gt;L3")+COUNTIFS(AE$4:AE$61,"11:00 AM",$D$4:$D$61,"&lt;&gt;L3")+COUNTIFS(AE$4:AE$61,"12:00 AM",$D$4:$D$61,"&lt;&gt;L3")</f>
        <v>2</v>
      </c>
      <c r="AH68" s="54">
        <v>0.29166666666666669</v>
      </c>
      <c r="AI68" s="166"/>
      <c r="AJ68" s="136">
        <f>COUNTIFS(AH$4:AH$61,AH68,$D$4:$D$61,"&lt;&gt;L3",$D$4:$D$61,"&lt;&gt;SS")+COUNTIFS(AH$4:AH$61,"7:30 AM",$D$4:$D$61,"&lt;&gt;L3",$D$4:$D$61,"&lt;&gt;SS")</f>
        <v>7</v>
      </c>
      <c r="AK68" s="54">
        <v>0.29166666666666669</v>
      </c>
      <c r="AL68" s="166"/>
      <c r="AM68" s="136">
        <f>COUNTIFS(AK$4:AK$61,AK68,$D$4:$D$61,"&lt;&gt;L3",$D$4:$D$61,"&lt;&gt;SS")+COUNTIFS(AK$4:AK$61,"7:30 AM",$D$4:$D$61,"&lt;&gt;L3",$D$4:$D$61,"&lt;&gt;SS")</f>
        <v>7</v>
      </c>
      <c r="AN68" s="54">
        <v>0.29166666666666669</v>
      </c>
      <c r="AO68" s="166"/>
      <c r="AP68" s="136">
        <f>COUNTIFS(AN$4:AN$61,AN68,$D$4:$D$61,"&lt;&gt;L3",$D$4:$D$61,"&lt;&gt;SS")+COUNTIFS(AN$4:AN$61,"7:30 AM",$D$4:$D$61,"&lt;&gt;L3",$D$4:$D$61,"&lt;&gt;SS")</f>
        <v>9</v>
      </c>
      <c r="AQ68" s="54">
        <v>0.29166666666666669</v>
      </c>
      <c r="AR68" s="166"/>
      <c r="AS68" s="136">
        <f>COUNTIFS(AQ$4:AQ$61,AQ68,$D$4:$D$61,"&lt;&gt;L3",$D$4:$D$61,"&lt;&gt;SS")+COUNTIFS(AQ$4:AQ$61,"7:30 AM",$D$4:$D$61,"&lt;&gt;L3",$D$4:$D$61,"&lt;&gt;SS")</f>
        <v>8</v>
      </c>
      <c r="AT68" s="54">
        <v>0.29166666666666669</v>
      </c>
      <c r="AU68" s="166"/>
      <c r="AV68" s="136">
        <f>COUNTIFS(AT$4:AT$61,AT68,$D$4:$D$61,"&lt;&gt;L3",$D$4:$D$61,"&lt;&gt;SS")+COUNTIFS(AT$4:AT$61,"7:30 AM",$D$4:$D$61,"&lt;&gt;L3",$D$4:$D$61,"&lt;&gt;SS")</f>
        <v>9</v>
      </c>
      <c r="AW68" s="135" t="s">
        <v>103</v>
      </c>
      <c r="AX68" s="172"/>
      <c r="AY68" s="136">
        <f>COUNTIFS(AW$4:AW$61,"7:00 AM",$D$4:$D$61,"&lt;&gt;L3")+COUNTIFS(AW$4:AW$61,"8:00 AM",$D$4:$D$61,"&lt;&gt;L3")+COUNTIFS(AW$4:AW$61,"9:00 AM",$D$4:$D$61,"&lt;&gt;L3")+COUNTIFS(AW$4:AW$61,"10:00 AM",$D$4:$D$61,"&lt;&gt;L3")+COUNTIFS(AW$4:AW$61,"11:00 AM",$D$4:$D$61,"&lt;&gt;L3")+COUNTIFS(AW$4:AW$61,"12:00 AM",$D$4:$D$61,"&lt;&gt;L3")</f>
        <v>2</v>
      </c>
      <c r="AZ68"/>
      <c r="BA68" s="135" t="s">
        <v>103</v>
      </c>
      <c r="BB68" s="172"/>
      <c r="BC68" s="136">
        <f>COUNTIFS(BA$4:BA$61,"7:00 AM",$D$4:$D$61,"&lt;&gt;L3")+COUNTIFS(BA$4:BA$61,"8:00 AM",$D$4:$D$61,"&lt;&gt;L3")+COUNTIFS(BA$4:BA$61,"9:00 AM",$D$4:$D$61,"&lt;&gt;L3")+COUNTIFS(BA$4:BA$61,"10:00 AM",$D$4:$D$61,"&lt;&gt;L3")+COUNTIFS(BA$4:BA$61,"11:00 AM",$D$4:$D$61,"&lt;&gt;L3")+COUNTIFS(BA$4:BA$61,"12:00 AM",$D$4:$D$61,"&lt;&gt;L3")</f>
        <v>2</v>
      </c>
      <c r="BD68"/>
      <c r="BE68"/>
      <c r="BF68"/>
      <c r="BG68" s="38"/>
    </row>
    <row r="69" spans="1:82" x14ac:dyDescent="0.2">
      <c r="A69" s="27" t="s">
        <v>20</v>
      </c>
      <c r="B69" s="27"/>
      <c r="C69" s="30"/>
      <c r="D69"/>
      <c r="E69" s="161" t="s">
        <v>104</v>
      </c>
      <c r="F69" s="167"/>
      <c r="G69" s="136">
        <f>COUNTIFS(E$4:E$61,"2PM-10PM",$D$4:$D$61,"&lt;&gt;L3")+COUNTIFS(E$4:E$61,"2:00 PM",$D$4:$D$61,"&lt;&gt;L3")+COUNTIFS(G$4:G$61,"2PM-10PM",$D$4:$D$61,"&lt;&gt;L3")</f>
        <v>2</v>
      </c>
      <c r="H69"/>
      <c r="I69" s="22" t="s">
        <v>104</v>
      </c>
      <c r="J69" s="167"/>
      <c r="K69" s="136">
        <f>COUNTIFS(I$4:I$61,"2PM-10PM",$D$4:$D$61,"&lt;&gt;L3")+COUNTIFS(I$4:I$61,"2:00 PM",$D$4:$D$61,"&lt;&gt;L3")+COUNTIFS(K$4:K$61,"2PM-10PM",$D$4:$D$61,"&lt;&gt;L3")</f>
        <v>2</v>
      </c>
      <c r="L69" s="9">
        <v>0.33333333333333331</v>
      </c>
      <c r="M69" s="166"/>
      <c r="N69" s="136">
        <f>COUNTIFS(L$4:L$61,L69,$D$4:$D$61,"&lt;&gt;L3",$D$4:$D$61,"&lt;&gt;SS")+COUNTIFS(L$4:L$61,"8:30 AM",$D$4:$D$61,"&lt;&gt;L3",$D$4:$D$61,"&lt;&gt;SS")</f>
        <v>8</v>
      </c>
      <c r="O69" s="9">
        <v>0.33333333333333331</v>
      </c>
      <c r="P69" s="166"/>
      <c r="Q69" s="136">
        <f>COUNTIFS(O$4:O$61,O69,$D$4:$D$61,"&lt;&gt;L3",$D$4:$D$61,"&lt;&gt;SS")+COUNTIFS(O$4:O$61,"8:30 AM",$D$4:$D$61,"&lt;&gt;L3",$D$4:$D$61,"&lt;&gt;SS")</f>
        <v>8</v>
      </c>
      <c r="R69" s="9">
        <v>0.33333333333333331</v>
      </c>
      <c r="S69" s="166"/>
      <c r="T69" s="136">
        <f>COUNTIFS(R$4:R$61,R69,$D$4:$D$61,"&lt;&gt;L3",$D$4:$D$61,"&lt;&gt;SS")+COUNTIFS(R$4:R$61,"8:30 AM",$D$4:$D$61,"&lt;&gt;L3",$D$4:$D$61,"&lt;&gt;SS")</f>
        <v>6</v>
      </c>
      <c r="U69" s="9">
        <v>0.33333333333333331</v>
      </c>
      <c r="V69" s="166"/>
      <c r="W69" s="136">
        <f>COUNTIFS(U$4:U$61,U69,$D$4:$D$61,"&lt;&gt;L3",$D$4:$D$61,"&lt;&gt;SS")+COUNTIFS(U$4:U$61,"8:30 AM",$D$4:$D$61,"&lt;&gt;L3",$D$4:$D$61,"&lt;&gt;SS")</f>
        <v>8</v>
      </c>
      <c r="X69" s="9">
        <v>0.33333333333333331</v>
      </c>
      <c r="Y69" s="166"/>
      <c r="Z69" s="136">
        <f>COUNTIFS(X$4:X$61,X69,$D$4:$D$61,"&lt;&gt;L3",$D$4:$D$61,"&lt;&gt;SS")+COUNTIFS(X$4:X$61,"8:30 AM",$D$4:$D$61,"&lt;&gt;L3",$D$4:$D$61,"&lt;&gt;SS")</f>
        <v>8</v>
      </c>
      <c r="AA69" s="22" t="s">
        <v>104</v>
      </c>
      <c r="AB69" s="167"/>
      <c r="AC69" s="136">
        <f>COUNTIFS(AA$4:AA$61,"2PM-10PM",$D$4:$D$61,"&lt;&gt;L3")+COUNTIFS(AA$4:AA$61,"2:00 PM",$D$4:$D$61,"&lt;&gt;L3")+COUNTIFS(AC$4:AC$61,"2PM-10PM",$D$4:$D$61,"&lt;&gt;L3")</f>
        <v>2</v>
      </c>
      <c r="AD69"/>
      <c r="AE69" s="22" t="s">
        <v>104</v>
      </c>
      <c r="AF69" s="167"/>
      <c r="AG69" s="136">
        <f>COUNTIFS(AE$4:AE$61,"2PM-10PM",$D$4:$D$61,"&lt;&gt;L3")+COUNTIFS(AE$4:AE$61,"2:00 PM",$D$4:$D$61,"&lt;&gt;L3")+COUNTIFS(AG$4:AG$61,"2PM-10PM",$D$4:$D$61,"&lt;&gt;L3")</f>
        <v>2</v>
      </c>
      <c r="AH69" s="153">
        <v>0.33333333333333331</v>
      </c>
      <c r="AI69" s="166"/>
      <c r="AJ69" s="136">
        <f>COUNTIFS(AH$4:AH$61,AH69,$D$4:$D$61,"&lt;&gt;L3",$D$4:$D$61,"&lt;&gt;SS")+COUNTIFS(AH$4:AH$61,"8:30 AM",$D$4:$D$61,"&lt;&gt;L3",$D$4:$D$61,"&lt;&gt;SS")</f>
        <v>9</v>
      </c>
      <c r="AK69" s="153">
        <v>0.33333333333333331</v>
      </c>
      <c r="AL69" s="166"/>
      <c r="AM69" s="136">
        <f>COUNTIFS(AK$4:AK$61,AK69,$D$4:$D$61,"&lt;&gt;L3",$D$4:$D$61,"&lt;&gt;SS")+COUNTIFS(AK$4:AK$61,"8:30 AM",$D$4:$D$61,"&lt;&gt;L3",$D$4:$D$61,"&lt;&gt;SS")</f>
        <v>8</v>
      </c>
      <c r="AN69" s="153">
        <v>0.33333333333333331</v>
      </c>
      <c r="AO69" s="166"/>
      <c r="AP69" s="136">
        <f>COUNTIFS(AN$4:AN$61,AN69,$D$4:$D$61,"&lt;&gt;L3",$D$4:$D$61,"&lt;&gt;SS")+COUNTIFS(AN$4:AN$61,"8:30 AM",$D$4:$D$61,"&lt;&gt;L3",$D$4:$D$61,"&lt;&gt;SS")</f>
        <v>8</v>
      </c>
      <c r="AQ69" s="153">
        <v>0.33333333333333331</v>
      </c>
      <c r="AR69" s="166"/>
      <c r="AS69" s="136">
        <f>COUNTIFS(AQ$4:AQ$61,AQ69,$D$4:$D$61,"&lt;&gt;L3",$D$4:$D$61,"&lt;&gt;SS")+COUNTIFS(AQ$4:AQ$61,"8:30 AM",$D$4:$D$61,"&lt;&gt;L3",$D$4:$D$61,"&lt;&gt;SS")</f>
        <v>7</v>
      </c>
      <c r="AT69" s="153">
        <v>0.33333333333333331</v>
      </c>
      <c r="AU69" s="166"/>
      <c r="AV69" s="136">
        <f>COUNTIFS(AT$4:AT$61,AT69,$D$4:$D$61,"&lt;&gt;L3",$D$4:$D$61,"&lt;&gt;SS")+COUNTIFS(AT$4:AT$61,"8:30 AM",$D$4:$D$61,"&lt;&gt;L3",$D$4:$D$61,"&lt;&gt;SS")</f>
        <v>8</v>
      </c>
      <c r="AW69" s="22" t="s">
        <v>104</v>
      </c>
      <c r="AX69" s="167"/>
      <c r="AY69" s="136">
        <f>COUNTIFS(AW$4:AW$61,"2PM-10PM",$D$4:$D$61,"&lt;&gt;L3")+COUNTIFS(AW$4:AW$61,"2:00 PM",$D$4:$D$61,"&lt;&gt;L3")+COUNTIFS(AY$4:AY$61,"2PM-10PM",$D$4:$D$61,"&lt;&gt;L3")</f>
        <v>2</v>
      </c>
      <c r="AZ69"/>
      <c r="BA69" s="22" t="s">
        <v>104</v>
      </c>
      <c r="BB69" s="167"/>
      <c r="BC69" s="136">
        <f>COUNTIFS(BA$4:BA$61,"2PM-10PM",$D$4:$D$61,"&lt;&gt;L3")+COUNTIFS(BA$4:BA$61,"2:00 PM",$D$4:$D$61,"&lt;&gt;L3")+COUNTIFS(BC$4:BC$61,"2PM-10PM",$D$4:$D$61,"&lt;&gt;L3")</f>
        <v>2</v>
      </c>
      <c r="BD69"/>
      <c r="BE69"/>
      <c r="BF69"/>
    </row>
    <row r="70" spans="1:82" x14ac:dyDescent="0.2">
      <c r="A70" s="27" t="s">
        <v>30</v>
      </c>
      <c r="B70" s="27"/>
      <c r="C70" s="45"/>
      <c r="D70"/>
      <c r="E70" s="159" t="s">
        <v>29</v>
      </c>
      <c r="F70" s="173"/>
      <c r="G70" s="291">
        <f>COUNTIFS(E$4:E$61,"10:00 PM")+COUNTIFS(G$4:G$61,"10PM-6AM")</f>
        <v>2</v>
      </c>
      <c r="H70"/>
      <c r="I70" s="19" t="s">
        <v>29</v>
      </c>
      <c r="J70" s="173"/>
      <c r="K70" s="291">
        <f>COUNTIFS(I$4:I$61,"10:00 PM")+COUNTIFS(K$4:K$61,"10PM-6AM")</f>
        <v>2</v>
      </c>
      <c r="L70" s="9">
        <v>0.375</v>
      </c>
      <c r="M70" s="166"/>
      <c r="N70" s="136">
        <f>COUNTIFS(L$4:L$61,L70,$D$4:$D$61,"&lt;&gt;L3",$D$4:$D$61,"&lt;&gt;SS")+COUNTIFS(L$4:L$61,"9:30 AM",$D$4:$D$61,"&lt;&gt;L3",$D$4:$D$61,"&lt;&gt;SS")</f>
        <v>6</v>
      </c>
      <c r="O70" s="9">
        <v>0.375</v>
      </c>
      <c r="P70" s="166"/>
      <c r="Q70" s="136">
        <f>COUNTIFS(O$4:O$61,O70,$D$4:$D$61,"&lt;&gt;L3",$D$4:$D$61,"&lt;&gt;SS")+COUNTIFS(O$4:O$61,"9:30 AM",$D$4:$D$61,"&lt;&gt;L3",$D$4:$D$61,"&lt;&gt;SS")</f>
        <v>5</v>
      </c>
      <c r="R70" s="9">
        <v>0.375</v>
      </c>
      <c r="S70" s="166"/>
      <c r="T70" s="136">
        <f>COUNTIFS(R$4:R$61,R70,$D$4:$D$61,"&lt;&gt;L3",$D$4:$D$61,"&lt;&gt;SS")+COUNTIFS(R$4:R$61,"9:30 AM",$D$4:$D$61,"&lt;&gt;L3",$D$4:$D$61,"&lt;&gt;SS")</f>
        <v>6</v>
      </c>
      <c r="U70" s="9">
        <v>0.375</v>
      </c>
      <c r="V70" s="166"/>
      <c r="W70" s="136">
        <f>COUNTIFS(U$4:U$61,U70,$D$4:$D$61,"&lt;&gt;L3",$D$4:$D$61,"&lt;&gt;SS")+COUNTIFS(U$4:U$61,"9:30 AM",$D$4:$D$61,"&lt;&gt;L3",$D$4:$D$61,"&lt;&gt;SS")</f>
        <v>6</v>
      </c>
      <c r="X70" s="9">
        <v>0.375</v>
      </c>
      <c r="Y70" s="166"/>
      <c r="Z70" s="136">
        <f>COUNTIFS(X$4:X$61,X70,$D$4:$D$61,"&lt;&gt;L3",$D$4:$D$61,"&lt;&gt;SS")+COUNTIFS(X$4:X$61,"9:30 AM",$D$4:$D$61,"&lt;&gt;L3",$D$4:$D$61,"&lt;&gt;SS")</f>
        <v>6</v>
      </c>
      <c r="AA70" s="19" t="s">
        <v>29</v>
      </c>
      <c r="AB70" s="173"/>
      <c r="AC70" s="291">
        <f>COUNTIFS(AA$4:AA$61,"10:00 PM")+COUNTIFS(AC$4:AC$61,"10PM-6AM")</f>
        <v>2</v>
      </c>
      <c r="AD70"/>
      <c r="AE70" s="19" t="s">
        <v>29</v>
      </c>
      <c r="AF70" s="173"/>
      <c r="AG70" s="291">
        <f>COUNTIFS(AE$4:AE$61,"10:00 PM")+COUNTIFS(AG$4:AG$61,"10PM-6AM")</f>
        <v>3</v>
      </c>
      <c r="AH70" s="153">
        <v>0.375</v>
      </c>
      <c r="AI70" s="166"/>
      <c r="AJ70" s="136">
        <f>COUNTIFS(AH$4:AH$61,AH70,$D$4:$D$61,"&lt;&gt;L3",$D$4:$D$61,"&lt;&gt;SS")+COUNTIFS(AH$4:AH$61,"9:30 AM",$D$4:$D$61,"&lt;&gt;L3",$D$4:$D$61,"&lt;&gt;SS")</f>
        <v>6</v>
      </c>
      <c r="AK70" s="153">
        <v>0.375</v>
      </c>
      <c r="AL70" s="166"/>
      <c r="AM70" s="136">
        <f>COUNTIFS(AK$4:AK$61,AK70,$D$4:$D$61,"&lt;&gt;L3",$D$4:$D$61,"&lt;&gt;SS")+COUNTIFS(AK$4:AK$61,"9:30 AM",$D$4:$D$61,"&lt;&gt;L3",$D$4:$D$61,"&lt;&gt;SS")</f>
        <v>7</v>
      </c>
      <c r="AN70" s="153">
        <v>0.375</v>
      </c>
      <c r="AO70" s="166"/>
      <c r="AP70" s="136">
        <f>COUNTIFS(AN$4:AN$61,AN70,$D$4:$D$61,"&lt;&gt;L3",$D$4:$D$61,"&lt;&gt;SS")+COUNTIFS(AN$4:AN$61,"9:30 AM",$D$4:$D$61,"&lt;&gt;L3",$D$4:$D$61,"&lt;&gt;SS")</f>
        <v>6</v>
      </c>
      <c r="AQ70" s="153">
        <v>0.375</v>
      </c>
      <c r="AR70" s="166"/>
      <c r="AS70" s="136">
        <f>COUNTIFS(AQ$4:AQ$61,AQ70,$D$4:$D$61,"&lt;&gt;L3",$D$4:$D$61,"&lt;&gt;SS")+COUNTIFS(AQ$4:AQ$61,"9:30 AM",$D$4:$D$61,"&lt;&gt;L3",$D$4:$D$61,"&lt;&gt;SS")</f>
        <v>7</v>
      </c>
      <c r="AT70" s="153">
        <v>0.375</v>
      </c>
      <c r="AU70" s="166"/>
      <c r="AV70" s="136">
        <f>COUNTIFS(AT$4:AT$61,AT70,$D$4:$D$61,"&lt;&gt;L3",$D$4:$D$61,"&lt;&gt;SS")+COUNTIFS(AT$4:AT$61,"9:30 AM",$D$4:$D$61,"&lt;&gt;L3",$D$4:$D$61,"&lt;&gt;SS")</f>
        <v>6</v>
      </c>
      <c r="AW70" s="19" t="s">
        <v>29</v>
      </c>
      <c r="AX70" s="173"/>
      <c r="AY70" s="291">
        <f>COUNTIFS(AW$4:AW$61,"10:00 PM")+COUNTIFS(AY$4:AY$61,"10PM-6AM")</f>
        <v>2</v>
      </c>
      <c r="AZ70"/>
      <c r="BA70" s="19" t="s">
        <v>29</v>
      </c>
      <c r="BB70" s="173"/>
      <c r="BC70" s="291">
        <f>COUNTIFS(BA$4:BA$61,"10:00 PM")+COUNTIFS(BC$4:BC$61,"10PM-6AM")</f>
        <v>2</v>
      </c>
      <c r="BD70"/>
      <c r="BE70"/>
      <c r="BF70"/>
    </row>
    <row r="71" spans="1:82" x14ac:dyDescent="0.2">
      <c r="A71" s="27" t="s">
        <v>21</v>
      </c>
      <c r="B71" s="27"/>
      <c r="C71" s="31"/>
      <c r="D71"/>
      <c r="E71" s="340" t="s">
        <v>262</v>
      </c>
      <c r="F71" s="341"/>
      <c r="G71" s="339" t="str">
        <f>IF(G72="","Good","Missing")</f>
        <v>Good</v>
      </c>
      <c r="H71" s="139"/>
      <c r="I71" s="340" t="s">
        <v>262</v>
      </c>
      <c r="J71" s="341"/>
      <c r="K71" s="339" t="str">
        <f>IF(K72="","Good","Missing")</f>
        <v>Good</v>
      </c>
      <c r="L71" s="145">
        <v>0.41666666666666669</v>
      </c>
      <c r="M71" s="166"/>
      <c r="N71" s="136">
        <f>COUNTIFS(L$4:L$61,L71,$D$4:$D$61,"&lt;&gt;L3",$D$4:$D$61,"&lt;&gt;SS")+COUNTIFS(L$4:L$61,"9:30 AM",$D$4:$D$61,"&lt;&gt;L3",$D$4:$D$61,"&lt;&gt;SS")</f>
        <v>1</v>
      </c>
      <c r="O71" s="145">
        <v>0.41666666666666669</v>
      </c>
      <c r="P71" s="166"/>
      <c r="Q71" s="136">
        <f>COUNTIFS(O$4:O$61,O71,$D$4:$D$61,"&lt;&gt;L3",$D$4:$D$61,"&lt;&gt;SS")+COUNTIFS(O$4:O$61,"9:30 AM",$D$4:$D$61,"&lt;&gt;L3",$D$4:$D$61,"&lt;&gt;SS")</f>
        <v>1</v>
      </c>
      <c r="R71" s="145">
        <v>0.41666666666666669</v>
      </c>
      <c r="S71" s="166"/>
      <c r="T71" s="136">
        <f>COUNTIFS(R$4:R$61,R71,$D$4:$D$61,"&lt;&gt;L3",$D$4:$D$61,"&lt;&gt;SS")+COUNTIFS(R$4:R$61,"9:30 AM",$D$4:$D$61,"&lt;&gt;L3",$D$4:$D$61,"&lt;&gt;SS")</f>
        <v>0</v>
      </c>
      <c r="U71" s="145">
        <v>0.41666666666666669</v>
      </c>
      <c r="V71" s="166"/>
      <c r="W71" s="136">
        <f>COUNTIFS(U$4:U$61,U71,$D$4:$D$61,"&lt;&gt;L3",$D$4:$D$61,"&lt;&gt;SS")+COUNTIFS(U$4:U$61,"9:30 AM",$D$4:$D$61,"&lt;&gt;L3",$D$4:$D$61,"&lt;&gt;SS")</f>
        <v>0</v>
      </c>
      <c r="X71" s="145">
        <v>0.41666666666666669</v>
      </c>
      <c r="Y71" s="166"/>
      <c r="Z71" s="136">
        <f>COUNTIFS(X$4:X$61,X71,$D$4:$D$61,"&lt;&gt;L3",$D$4:$D$61,"&lt;&gt;SS")+COUNTIFS(X$4:X$61,"9:30 AM",$D$4:$D$61,"&lt;&gt;L3",$D$4:$D$61,"&lt;&gt;SS")</f>
        <v>1</v>
      </c>
      <c r="AA71" s="192" t="s">
        <v>122</v>
      </c>
      <c r="AB71" s="193"/>
      <c r="AC71" s="189">
        <f>COUNTIFS(AB4:AB61,"&lt;&gt;")+COUNTIFS(AB4:AB61, "&lt;&gt;",AA4:AA61, "=2PM-10PM",AC4:AC61, "=10PM-6AM")</f>
        <v>7</v>
      </c>
      <c r="AD71" s="139"/>
      <c r="AE71" s="192" t="s">
        <v>122</v>
      </c>
      <c r="AF71" s="193"/>
      <c r="AG71" s="189">
        <f>COUNTIFS(AF4:AF61,"&lt;&gt;")+COUNTIFS(AF4:AF61, "&lt;&gt;",AE4:AE61, "=2PM-10PM",AG4:AG61, "=10PM-6AM")</f>
        <v>9</v>
      </c>
      <c r="AH71" s="145">
        <v>0.41666666666666669</v>
      </c>
      <c r="AI71" s="166"/>
      <c r="AJ71" s="136">
        <f>COUNTIFS(AH$4:AH$61,AH71,$D$4:$D$61,"&lt;&gt;L3")+COUNTIFS(AH$4:AH$61,"9:30 AM",$D$4:$D$61,"&lt;&gt;L3")</f>
        <v>1</v>
      </c>
      <c r="AK71" s="145">
        <v>0.41666666666666669</v>
      </c>
      <c r="AL71" s="166"/>
      <c r="AM71" s="136">
        <f>COUNTIFS(AK$4:AK$61,AK71,$D$4:$D$61,"&lt;&gt;L3")+COUNTIFS(AK$4:AK$61,"9:30 AM",$D$4:$D$61,"&lt;&gt;L3")</f>
        <v>1</v>
      </c>
      <c r="AN71" s="145">
        <v>0.41666666666666669</v>
      </c>
      <c r="AO71" s="166"/>
      <c r="AP71" s="136">
        <f>COUNTIFS(AN$4:AN$61,AN71,$D$4:$D$61,"&lt;&gt;L3")+COUNTIFS(AN$4:AN$61,"9:30 AM",$D$4:$D$61,"&lt;&gt;L3")</f>
        <v>1</v>
      </c>
      <c r="AQ71" s="145">
        <v>0.41666666666666669</v>
      </c>
      <c r="AR71" s="166"/>
      <c r="AS71" s="136">
        <f>COUNTIFS(AQ$4:AQ$61,AQ71,$D$4:$D$61,"&lt;&gt;L3")+COUNTIFS(AQ$4:AQ$61,"9:30 AM",$D$4:$D$61,"&lt;&gt;L3")</f>
        <v>1</v>
      </c>
      <c r="AT71" s="145">
        <v>0.41666666666666669</v>
      </c>
      <c r="AU71" s="166"/>
      <c r="AV71" s="136">
        <f>COUNTIFS(AT$4:AT$61,AT71,$D$4:$D$61,"&lt;&gt;L3")+COUNTIFS(AT$4:AT$61,"9:30 AM",$D$4:$D$61,"&lt;&gt;L3")</f>
        <v>1</v>
      </c>
      <c r="AW71" s="192" t="s">
        <v>122</v>
      </c>
      <c r="AX71" s="193"/>
      <c r="AY71" s="189">
        <f>COUNTIFS(AX4:AX61,"&lt;&gt;")+COUNTIFS(AX4:AX61, "&lt;&gt;",AW4:AW61, "=2PM-10PM",AY4:AY61, "=10PM-6AM")</f>
        <v>7</v>
      </c>
      <c r="AZ71" s="139"/>
      <c r="BA71" s="192" t="s">
        <v>122</v>
      </c>
      <c r="BB71" s="193"/>
      <c r="BC71" s="189">
        <f>COUNTIFS(BB4:BB61,"&lt;&gt;")+COUNTIFS(BB4:BB61, "&lt;&gt;",BA4:BA61, "=2PM-10PM",BC4:BC61, "=10PM-6AM")</f>
        <v>8</v>
      </c>
      <c r="BD71"/>
      <c r="BE71"/>
      <c r="BF71"/>
    </row>
    <row r="72" spans="1:82" ht="13.5" thickBot="1" x14ac:dyDescent="0.25">
      <c r="A72" s="27" t="s">
        <v>22</v>
      </c>
      <c r="B72" s="27"/>
      <c r="C72" s="32"/>
      <c r="D72"/>
      <c r="E72" s="342" t="s">
        <v>263</v>
      </c>
      <c r="F72" s="343"/>
      <c r="G72" s="338" t="str">
        <f>CONCATENATE(
       IF(COUNTIFS(E$4:E$62,"6:00 AM",$D$4:$D$62,"L2"),"","AM "),
       IF(COUNTIFS(E$4:E$62,"2:00 PM",$D$4:$D$62,"L2")+COUNTIFS(E$4:E$62,"*2PM*",$D$4:$D$62,"L2"),"","PM "),
       IF(COUNTIFS(E$4:E$62,"10:00 PM",$D$4:$D$62,"L2")+COUNTIFS(G$4:G$62,"*10PM*",$D$4:$D$62,"L2"),"","GRV "),
)</f>
        <v/>
      </c>
      <c r="H72" s="139"/>
      <c r="I72" s="342" t="s">
        <v>263</v>
      </c>
      <c r="J72" s="343"/>
      <c r="K72" s="338" t="str">
        <f>CONCATENATE(
       IF(COUNTIFS(I$4:I$62,"6:00 AM",$D$4:$D$62,"L2"),"","AM "),
       IF(COUNTIFS(I$4:I$62,"2:00 PM",$D$4:$D$62,"L2")+COUNTIFS(I$4:I$62,"*2PM*",$D$4:$D$62,"L2"),"","PM "),
       IF(COUNTIFS(I$4:I$62,"10:00 PM",$D$4:$D$62,"L2")+COUNTIFS(K$4:K$62,"*10PM*",$D$4:$D$62,"L2"),"","GRV "),
)</f>
        <v/>
      </c>
      <c r="L72" s="161">
        <v>0.54166666666666663</v>
      </c>
      <c r="M72" s="167"/>
      <c r="N72" s="136">
        <f>COUNTIFS(L$4:L$61,L72,$D$4:$D$61,"&lt;&gt;L3")</f>
        <v>0</v>
      </c>
      <c r="O72" s="161">
        <v>0.54166666666666663</v>
      </c>
      <c r="P72" s="167"/>
      <c r="Q72" s="136">
        <f>COUNTIFS(O$4:O$61,O72,$D$4:$D$61,"&lt;&gt;L3")</f>
        <v>0</v>
      </c>
      <c r="R72" s="161">
        <v>0.54166666666666663</v>
      </c>
      <c r="S72" s="167"/>
      <c r="T72" s="136">
        <f>COUNTIFS(R$4:R$61,R72,$D$4:$D$61,"&lt;&gt;L3")</f>
        <v>0</v>
      </c>
      <c r="U72" s="161">
        <v>0.54166666666666663</v>
      </c>
      <c r="V72" s="167"/>
      <c r="W72" s="136">
        <f>COUNTIFS(U$4:U$61,U72,$D$4:$D$61,"&lt;&gt;L3")</f>
        <v>0</v>
      </c>
      <c r="X72" s="161">
        <v>0.54166666666666663</v>
      </c>
      <c r="Y72" s="167"/>
      <c r="Z72" s="136">
        <f>COUNTIFS(X$4:X$61,X72,$D$4:$D$61,"&lt;&gt;L3")</f>
        <v>0</v>
      </c>
      <c r="AA72" s="340" t="s">
        <v>262</v>
      </c>
      <c r="AB72" s="341"/>
      <c r="AC72" s="339" t="str">
        <f>IF(AC73="","Good","Missing")</f>
        <v>Good</v>
      </c>
      <c r="AD72" s="139"/>
      <c r="AE72" s="340" t="s">
        <v>262</v>
      </c>
      <c r="AF72" s="341"/>
      <c r="AG72" s="339" t="str">
        <f>IF(AG73="","Good","Missing")</f>
        <v>Good</v>
      </c>
      <c r="AH72" s="161">
        <v>0.54166666666666663</v>
      </c>
      <c r="AI72" s="167"/>
      <c r="AJ72" s="136">
        <f>COUNTIFS(AH$4:AH$61,AH72,$D$4:$D$61,"&lt;&gt;L3")</f>
        <v>0</v>
      </c>
      <c r="AK72" s="161">
        <v>0.54166666666666663</v>
      </c>
      <c r="AL72" s="167"/>
      <c r="AM72" s="136">
        <f>COUNTIFS(AK$4:AK$61,AK72,$D$4:$D$61,"&lt;&gt;L3")</f>
        <v>0</v>
      </c>
      <c r="AN72" s="161">
        <v>0.54166666666666663</v>
      </c>
      <c r="AO72" s="167"/>
      <c r="AP72" s="136">
        <f>COUNTIFS(AN$4:AN$61,AN72,$D$4:$D$61,"&lt;&gt;L3")</f>
        <v>0</v>
      </c>
      <c r="AQ72" s="161">
        <v>0.54166666666666663</v>
      </c>
      <c r="AR72" s="167"/>
      <c r="AS72" s="136">
        <f>COUNTIFS(AQ$4:AQ$61,AQ72,$D$4:$D$61,"&lt;&gt;L3")</f>
        <v>0</v>
      </c>
      <c r="AT72" s="161">
        <v>0.54166666666666663</v>
      </c>
      <c r="AU72" s="167"/>
      <c r="AV72" s="136">
        <f>COUNTIFS(AT$4:AT$61,AT72,$D$4:$D$61,"&lt;&gt;L3")</f>
        <v>0</v>
      </c>
      <c r="AW72" s="340" t="s">
        <v>262</v>
      </c>
      <c r="AX72" s="341"/>
      <c r="AY72" s="339" t="str">
        <f>IF(AY73="","Good","Missing")</f>
        <v>Good</v>
      </c>
      <c r="AZ72" s="137"/>
      <c r="BA72" s="340" t="s">
        <v>262</v>
      </c>
      <c r="BB72" s="341"/>
      <c r="BC72" s="339" t="str">
        <f>IF(BC73="","Good","Missing")</f>
        <v>Good</v>
      </c>
      <c r="BD72"/>
      <c r="BE72"/>
      <c r="BF72"/>
    </row>
    <row r="73" spans="1:82" ht="13.5" thickBot="1" x14ac:dyDescent="0.25">
      <c r="A73" s="27" t="s">
        <v>23</v>
      </c>
      <c r="B73" s="27"/>
      <c r="C73" s="33"/>
      <c r="D73"/>
      <c r="E73" s="337"/>
      <c r="G73" s="336"/>
      <c r="H73" s="139"/>
      <c r="I73" s="139"/>
      <c r="J73" s="183"/>
      <c r="K73" s="139" t="str">
        <f>IF(K69&lt;&gt;2,1,"")</f>
        <v/>
      </c>
      <c r="L73" s="22">
        <v>0.58333333333333337</v>
      </c>
      <c r="M73" s="167"/>
      <c r="N73" s="136">
        <f>COUNTIFS(L$4:L$61,"2:00 PM",$D$4:$D$61,"&lt;&gt;L3")+COUNTIFS(L$4:L$61,"2PM-10PM",$D$4:$D$61,"&lt;&gt;L3")</f>
        <v>3</v>
      </c>
      <c r="O73" s="22">
        <v>0.58333333333333337</v>
      </c>
      <c r="P73" s="167"/>
      <c r="Q73" s="136">
        <f>COUNTIFS(O$4:O$61,"2:00 PM",$D$4:$D$61,"&lt;&gt;L3")+COUNTIFS(O$4:O$61,"2PM-10PM",$D$4:$D$61,"&lt;&gt;L3")</f>
        <v>3</v>
      </c>
      <c r="R73" s="22">
        <v>0.58333333333333337</v>
      </c>
      <c r="S73" s="167"/>
      <c r="T73" s="136">
        <f>COUNTIFS(R$4:R$61,"2:00 PM",$D$4:$D$61,"&lt;&gt;L3")+COUNTIFS(R$4:R$61,"2PM-10PM",$D$4:$D$61,"&lt;&gt;L3")</f>
        <v>3</v>
      </c>
      <c r="U73" s="22">
        <v>0.58333333333333337</v>
      </c>
      <c r="V73" s="167"/>
      <c r="W73" s="136">
        <f>COUNTIFS(U$4:U$61,"2:00 PM",$D$4:$D$61,"&lt;&gt;L3")+COUNTIFS(U$4:U$61,"2PM-10PM",$D$4:$D$61,"&lt;&gt;L3")</f>
        <v>3</v>
      </c>
      <c r="X73" s="22">
        <v>0.58333333333333337</v>
      </c>
      <c r="Y73" s="167"/>
      <c r="Z73" s="136">
        <f>COUNTIFS(X$4:X$61,"2:00 PM",$D$4:$D$61,"&lt;&gt;L3")+COUNTIFS(X$4:X$61,"2PM-10PM",$D$4:$D$61,"&lt;&gt;L3")</f>
        <v>3</v>
      </c>
      <c r="AA73" s="342" t="s">
        <v>263</v>
      </c>
      <c r="AB73" s="343"/>
      <c r="AC73" s="338" t="str">
        <f>CONCATENATE(
       IF(COUNTIFS(AA$4:AA$62,"6:00 AM",$D$4:$D$62,"L2"),"","AM "),
       IF(COUNTIFS(AA$4:AA$62,"2:00 PM",$D$4:$D$62,"L2")+COUNTIFS(AA$4:AA$62,"*2PM*",$D$4:$D$62,"L2"),"","PM "),
       IF(COUNTIFS(AA$4:AA$62,"10:00 PM",$D$4:$D$62,"L2")+COUNTIFS(AC$4:AC$62,"*10PM*",$D$4:$D$62,"L2"),"","GRV "),
)</f>
        <v/>
      </c>
      <c r="AD73" s="139"/>
      <c r="AE73" s="342" t="s">
        <v>263</v>
      </c>
      <c r="AF73" s="343"/>
      <c r="AG73" s="338" t="str">
        <f>CONCATENATE(
       IF(COUNTIFS(AE$4:AE$62,"6:00 AM",$D$4:$D$62,"L2"),"","AM "),
       IF(COUNTIFS(AE$4:AE$62,"2:00 PM",$D$4:$D$62,"L2")+COUNTIFS(AE$4:AE$62,"*2PM*",$D$4:$D$62,"L2"),"","PM "),
       IF(COUNTIFS(AE$4:AE$62,"10:00 PM",$D$4:$D$62,"L2")+COUNTIFS(AG$4:AG$62,"*10PM*",$D$4:$D$62,"L2"),"","GRV "),
)</f>
        <v/>
      </c>
      <c r="AH73" s="22">
        <v>0.58333333333333337</v>
      </c>
      <c r="AI73" s="167"/>
      <c r="AJ73" s="136">
        <f>COUNTIFS(AH$4:AH$61,"2:00 PM",$D$4:$D$61,"&lt;&gt;L3")+COUNTIFS(AH$4:AH$61,"2PM-10PM",$D$4:$D$61,"&lt;&gt;L3")</f>
        <v>3</v>
      </c>
      <c r="AK73" s="22">
        <v>0.58333333333333337</v>
      </c>
      <c r="AL73" s="167"/>
      <c r="AM73" s="136">
        <f>COUNTIFS(AK$4:AK$61,"2:00 PM",$D$4:$D$61,"&lt;&gt;L3")+COUNTIFS(AK$4:AK$61,"2PM-10PM",$D$4:$D$61,"&lt;&gt;L3")</f>
        <v>3</v>
      </c>
      <c r="AN73" s="22">
        <v>0.58333333333333337</v>
      </c>
      <c r="AO73" s="167"/>
      <c r="AP73" s="136">
        <f>COUNTIFS(AN$4:AN$61,"2:00 PM",$D$4:$D$61,"&lt;&gt;L3")+COUNTIFS(AN$4:AN$61,"2PM-10PM",$D$4:$D$61,"&lt;&gt;L3")</f>
        <v>3</v>
      </c>
      <c r="AQ73" s="22">
        <v>0.58333333333333337</v>
      </c>
      <c r="AR73" s="167"/>
      <c r="AS73" s="136">
        <f>COUNTIFS(AQ$4:AQ$61,"2:00 PM",$D$4:$D$61,"&lt;&gt;L3")+COUNTIFS(AQ$4:AQ$61,"2PM-10PM",$D$4:$D$61,"&lt;&gt;L3")</f>
        <v>3</v>
      </c>
      <c r="AT73" s="22">
        <v>0.58333333333333337</v>
      </c>
      <c r="AU73" s="167"/>
      <c r="AV73" s="136">
        <f>COUNTIFS(AT$4:AT$61,"2:00 PM",$D$4:$D$61,"&lt;&gt;L3")+COUNTIFS(AT$4:AT$61,"2PM-10PM",$D$4:$D$61,"&lt;&gt;L3")</f>
        <v>2</v>
      </c>
      <c r="AW73" s="342" t="s">
        <v>263</v>
      </c>
      <c r="AX73" s="343"/>
      <c r="AY73" s="338" t="str">
        <f>CONCATENATE(
       IF(COUNTIFS(AW$4:AW$62,"6:00 AM",$D$4:$D$62,"L2"),"","AM "),
       IF(COUNTIFS(AW$4:AW$62,"2:00 PM",$D$4:$D$62,"L2")+COUNTIFS(AW$4:AW$62,"*2PM*",$D$4:$D$62,"L2"),"","PM "),
       IF(COUNTIFS(AW$4:AW$62,"10:00 PM",$D$4:$D$62,"L2")+COUNTIFS(AY$4:AY$62,"*10PM*",$D$4:$D$62,"L2"),"","GRV "),
)</f>
        <v/>
      </c>
      <c r="AZ73" s="137"/>
      <c r="BA73" s="342" t="s">
        <v>263</v>
      </c>
      <c r="BB73" s="343"/>
      <c r="BC73" s="338" t="str">
        <f>CONCATENATE(
       IF(COUNTIFS(BA$4:BA$62,"6:00 AM",$D$4:$D$62,"L2"),"","AM "),
       IF(COUNTIFS(BA$4:BA$62,"2:00 PM",$D$4:$D$62,"L2")+COUNTIFS(BA$4:BA$62,"*2PM*",$D$4:$D$62,"L2"),"","PM "),
       IF(COUNTIFS(BA$4:BA$62,"10:00 PM",$D$4:$D$62,"L2")+COUNTIFS(BC$4:BC$62,"*10PM*",$D$4:$D$62,"L2"),"","GRV "),
)</f>
        <v/>
      </c>
      <c r="BD73"/>
      <c r="BE73"/>
      <c r="BF73"/>
    </row>
    <row r="74" spans="1:82" x14ac:dyDescent="0.2">
      <c r="A74" s="24" t="s">
        <v>24</v>
      </c>
      <c r="B74" s="24"/>
      <c r="C74" s="37"/>
      <c r="D74"/>
      <c r="G74" s="336"/>
      <c r="H74" s="139"/>
      <c r="I74" s="139"/>
      <c r="J74" s="183"/>
      <c r="K74" s="139" t="str">
        <f>IF(K70&lt;&gt;2,1,"")</f>
        <v/>
      </c>
      <c r="L74" s="19" t="s">
        <v>29</v>
      </c>
      <c r="M74" s="173"/>
      <c r="N74" s="136">
        <f>COUNTIFS(L$4:L$61,"10:00 PM",$D$4:$D$61,"&lt;&gt;L3")+COUNTIFS(N$4:N$61,"10PM-6AM",$D$4:$D$61,"&lt;&gt;L3")</f>
        <v>2</v>
      </c>
      <c r="O74" s="19" t="s">
        <v>29</v>
      </c>
      <c r="P74" s="173"/>
      <c r="Q74" s="136">
        <f>COUNTIFS(O$4:O$61,"10:00 PM",$D$4:$D$61,"&lt;&gt;L3")+COUNTIFS(Q$4:Q$61,"10PM-6AM",$D$4:$D$61,"&lt;&gt;L3")</f>
        <v>2</v>
      </c>
      <c r="R74" s="19" t="s">
        <v>29</v>
      </c>
      <c r="S74" s="173"/>
      <c r="T74" s="136">
        <f>COUNTIFS(R$4:R$61,"10:00 PM",$D$4:$D$61,"&lt;&gt;L3")+COUNTIFS(T$4:T$61,"10PM-6AM",$D$4:$D$61,"&lt;&gt;L3")</f>
        <v>2</v>
      </c>
      <c r="U74" s="19" t="s">
        <v>29</v>
      </c>
      <c r="V74" s="173"/>
      <c r="W74" s="136">
        <f>COUNTIFS(U$4:U$61,"10:00 PM",$D$4:$D$61,"&lt;&gt;L3")+COUNTIFS(W$4:W$61,"10PM-6AM",$D$4:$D$61,"&lt;&gt;L3")</f>
        <v>2</v>
      </c>
      <c r="X74" s="19" t="s">
        <v>29</v>
      </c>
      <c r="Y74" s="173"/>
      <c r="Z74" s="136">
        <f>COUNTIFS(X$4:X$61,"10:00 PM",$D$4:$D$61,"&lt;&gt;L3")+COUNTIFS(Z$4:Z$61,"10PM-6AM",$D$4:$D$61,"&lt;&gt;L3")</f>
        <v>2</v>
      </c>
      <c r="AA74"/>
      <c r="AB74" s="171"/>
      <c r="AC74" s="139" t="str">
        <f>IF(AC70&lt;&gt;2,1,"")</f>
        <v/>
      </c>
      <c r="AD74" s="139"/>
      <c r="AE74" s="139"/>
      <c r="AF74" s="183"/>
      <c r="AG74" s="139">
        <f>IF(AG70&lt;&gt;2,1,"")</f>
        <v>1</v>
      </c>
      <c r="AH74" s="19" t="s">
        <v>29</v>
      </c>
      <c r="AI74" s="173"/>
      <c r="AJ74" s="136">
        <f>COUNTIFS(AH$4:AH$61,"10:00 PM",$D$4:$D$61,"&lt;&gt;L3")+COUNTIFS(AJ$4:AJ$61,"10PM-6AM",$D$4:$D$61,"&lt;&gt;L3")</f>
        <v>2</v>
      </c>
      <c r="AK74" s="19" t="s">
        <v>29</v>
      </c>
      <c r="AL74" s="173"/>
      <c r="AM74" s="136">
        <f>COUNTIFS(AK$4:AK$61,"10:00 PM",$D$4:$D$61,"&lt;&gt;L3")+COUNTIFS(AM$4:AM$61,"10PM-6AM",$D$4:$D$61,"&lt;&gt;L3")</f>
        <v>2</v>
      </c>
      <c r="AN74" s="19" t="s">
        <v>29</v>
      </c>
      <c r="AO74" s="173"/>
      <c r="AP74" s="136">
        <f>COUNTIFS(AN$4:AN$61,"10:00 PM",$D$4:$D$61,"&lt;&gt;L3")+COUNTIFS(AP$4:AP$61,"10PM-6AM",$D$4:$D$61,"&lt;&gt;L3")</f>
        <v>2</v>
      </c>
      <c r="AQ74" s="19" t="s">
        <v>29</v>
      </c>
      <c r="AR74" s="173"/>
      <c r="AS74" s="136">
        <f>COUNTIFS(AQ$4:AQ$61,"10:00 PM",$D$4:$D$61,"&lt;&gt;L3")+COUNTIFS(AS$4:AS$61,"10PM-6AM",$D$4:$D$61,"&lt;&gt;L3")</f>
        <v>2</v>
      </c>
      <c r="AT74" s="19" t="s">
        <v>29</v>
      </c>
      <c r="AU74" s="173"/>
      <c r="AV74" s="136">
        <f>COUNTIFS(AT$4:AT$61,"10:00 PM",$D$4:$D$61,"&lt;&gt;L3")+COUNTIFS(AV$4:AV$61,"10PM-6AM",$D$4:$D$61,"&lt;&gt;L3")</f>
        <v>2</v>
      </c>
      <c r="AW74"/>
      <c r="AX74" s="171"/>
      <c r="AY74" s="137" t="str">
        <f>IF(AC70&lt;&gt;2,1,"")</f>
        <v/>
      </c>
      <c r="AZ74" s="137"/>
      <c r="BA74" s="137"/>
      <c r="BB74" s="187"/>
      <c r="BC74" s="137">
        <f>IF(AG70&lt;&gt;2,1,"")</f>
        <v>1</v>
      </c>
      <c r="BD74"/>
      <c r="BE74"/>
      <c r="BF74"/>
    </row>
    <row r="75" spans="1:82" x14ac:dyDescent="0.2">
      <c r="A75" s="278" t="s">
        <v>223</v>
      </c>
      <c r="B75" s="24"/>
      <c r="C75" s="53"/>
      <c r="D75"/>
      <c r="G75" s="336"/>
      <c r="H75" s="139"/>
      <c r="I75" s="139"/>
      <c r="J75" s="183"/>
      <c r="K75" s="139">
        <f>SUM(K71:K74)</f>
        <v>0</v>
      </c>
      <c r="L75" s="190" t="s">
        <v>122</v>
      </c>
      <c r="M75" s="191"/>
      <c r="N75" s="189">
        <f>COUNTIFS(M4:M61,"&lt;&gt;")+COUNTIFS(M4:M61, "&lt;&gt;",L4:L61, "=2PM-10PM",N4:N61, "=10PM-6AM")</f>
        <v>12</v>
      </c>
      <c r="O75" s="192" t="s">
        <v>122</v>
      </c>
      <c r="P75" s="193"/>
      <c r="Q75" s="189">
        <f>COUNTIFS(P4:P61,"&lt;&gt;")+COUNTIFS(P4:P61, "&lt;&gt;",O4:O61, "=2PM-10PM",Q4:Q61, "=10PM-6AM")</f>
        <v>12</v>
      </c>
      <c r="R75" s="192" t="s">
        <v>122</v>
      </c>
      <c r="S75" s="193"/>
      <c r="T75" s="189">
        <f>COUNTIFS(S4:S61,"&lt;&gt;")+COUNTIFS(S4:S61, "&lt;&gt;",R4:R61, "=2PM-10PM",T4:T61, "=10PM-6AM")</f>
        <v>12</v>
      </c>
      <c r="U75" s="192" t="s">
        <v>122</v>
      </c>
      <c r="V75" s="193"/>
      <c r="W75" s="189">
        <f>COUNTIFS(V4:V61,"&lt;&gt;")+COUNTIFS(V4:V61, "&lt;&gt;",U4:U61, "=2PM-10PM",W4:W61, "=10PM-6AM")</f>
        <v>12</v>
      </c>
      <c r="X75" s="192" t="s">
        <v>122</v>
      </c>
      <c r="Y75" s="193"/>
      <c r="Z75" s="189">
        <f>COUNTIFS(Y4:Y61,"&lt;&gt;")+COUNTIFS(Y4:Y61, "&lt;&gt;",X4:X61, "=2PM-10PM",Z4:Z61, "=10PM-6AM")</f>
        <v>11</v>
      </c>
      <c r="AA75"/>
      <c r="AB75" s="171"/>
      <c r="AC75" s="139">
        <f>SUM(AC71:AC74)</f>
        <v>7</v>
      </c>
      <c r="AD75" s="139"/>
      <c r="AE75" s="139"/>
      <c r="AF75" s="183"/>
      <c r="AG75" s="139">
        <f>SUM(AG71:AG74)</f>
        <v>10</v>
      </c>
      <c r="AH75" s="192" t="s">
        <v>122</v>
      </c>
      <c r="AI75" s="193"/>
      <c r="AJ75" s="189">
        <f>COUNTIFS(AI4:AI61,"&lt;&gt;")+COUNTIFS(AI4:AI61, "&lt;&gt;",AH4:AH61, "=2PM-10PM",AJ4:AJ61, "=10PM-6AM")</f>
        <v>12</v>
      </c>
      <c r="AK75" s="192" t="s">
        <v>122</v>
      </c>
      <c r="AL75" s="193"/>
      <c r="AM75" s="189">
        <f>COUNTIFS(AL4:AL61,"&lt;&gt;")+COUNTIFS(AL4:AL61, "&lt;&gt;",AK4:AK61, "=2PM-10PM",AM4:AM61, "=10PM-6AM")</f>
        <v>12</v>
      </c>
      <c r="AN75" s="192" t="s">
        <v>122</v>
      </c>
      <c r="AO75" s="193"/>
      <c r="AP75" s="189">
        <f>COUNTIFS(AO4:AO61,"&lt;&gt;")+COUNTIFS(AO4:AO61, "&lt;&gt;",AN4:AN61, "=2PM-10PM",AP4:AP61, "=10PM-6AM")</f>
        <v>11</v>
      </c>
      <c r="AQ75" s="192" t="s">
        <v>122</v>
      </c>
      <c r="AR75" s="193"/>
      <c r="AS75" s="189">
        <f>COUNTIFS(AR4:AR61,"&lt;&gt;")+COUNTIFS(AR4:AR61, "&lt;&gt;",AQ4:AQ61, "=2PM-10PM",AS4:AS61, "=10PM-6AM")</f>
        <v>13</v>
      </c>
      <c r="AT75" s="192" t="s">
        <v>122</v>
      </c>
      <c r="AU75" s="193"/>
      <c r="AV75" s="189">
        <f>COUNTIFS(AU4:AU61,"&lt;&gt;")+COUNTIFS(AU4:AU61, "&lt;&gt;",AT4:AT61, "=2PM-10PM",AV4:AV61, "=10PM-6AM")</f>
        <v>8</v>
      </c>
      <c r="AW75"/>
      <c r="AX75" s="171"/>
      <c r="AY75" s="138">
        <f>SUM(AY71:AY74)</f>
        <v>7</v>
      </c>
      <c r="AZ75" s="138"/>
      <c r="BA75" s="138"/>
      <c r="BB75" s="188"/>
      <c r="BC75" s="138">
        <f>SUM(BC71:BC74)</f>
        <v>9</v>
      </c>
      <c r="BD75"/>
      <c r="BE75"/>
      <c r="BF75"/>
    </row>
    <row r="76" spans="1:82" x14ac:dyDescent="0.2">
      <c r="A76" s="278" t="s">
        <v>222</v>
      </c>
      <c r="B76" s="24"/>
      <c r="C76" s="319"/>
      <c r="D76"/>
      <c r="E76" s="57" t="s">
        <v>16</v>
      </c>
      <c r="F76" s="175"/>
      <c r="G76" s="58"/>
      <c r="H76"/>
      <c r="I76"/>
      <c r="J76" s="171"/>
      <c r="K76"/>
      <c r="AA76"/>
      <c r="AB76" s="171"/>
      <c r="AC76"/>
      <c r="AD76"/>
      <c r="AE76"/>
      <c r="AF76" s="171"/>
      <c r="AG76"/>
      <c r="AH76"/>
      <c r="AI76" s="171"/>
      <c r="AJ76"/>
      <c r="AK76"/>
      <c r="AL76" s="171"/>
      <c r="AM76"/>
      <c r="AN76"/>
      <c r="AO76" s="171"/>
      <c r="AP76"/>
      <c r="AQ76"/>
      <c r="AR76" s="171"/>
      <c r="AS76"/>
      <c r="AT76"/>
      <c r="AU76" s="171"/>
      <c r="AV76"/>
      <c r="AW76"/>
      <c r="AX76" s="171"/>
      <c r="AY76"/>
      <c r="AZ76"/>
      <c r="BA76"/>
      <c r="BB76" s="171"/>
      <c r="BC76"/>
      <c r="BD76"/>
      <c r="BE76"/>
      <c r="BF76"/>
    </row>
    <row r="77" spans="1:82" x14ac:dyDescent="0.2">
      <c r="A77" s="24"/>
      <c r="B77" s="24"/>
      <c r="C77" s="23"/>
      <c r="D77"/>
      <c r="E77" s="59" t="s">
        <v>7</v>
      </c>
      <c r="F77" s="176"/>
      <c r="G77" s="60"/>
      <c r="H77"/>
      <c r="I77"/>
      <c r="J77" s="171"/>
      <c r="K77"/>
      <c r="L77"/>
      <c r="M77" s="171"/>
      <c r="N77"/>
      <c r="O77"/>
      <c r="P77" s="171"/>
      <c r="Q77"/>
      <c r="R77"/>
      <c r="S77" s="171"/>
      <c r="T77"/>
      <c r="U77"/>
      <c r="V77" s="171"/>
      <c r="W77"/>
      <c r="X77"/>
      <c r="Y77" s="171"/>
      <c r="Z77"/>
      <c r="AA77"/>
      <c r="AB77" s="171"/>
      <c r="AC77"/>
      <c r="AD77"/>
      <c r="AE77"/>
      <c r="AF77" s="171"/>
      <c r="AG77"/>
      <c r="AH77"/>
      <c r="AI77" s="171"/>
      <c r="AJ77"/>
      <c r="AK77"/>
      <c r="AL77" s="171"/>
      <c r="AM77"/>
      <c r="AN77"/>
      <c r="AO77" s="171"/>
      <c r="AP77"/>
      <c r="AQ77"/>
      <c r="AR77" s="171"/>
      <c r="AS77"/>
      <c r="AT77"/>
      <c r="AU77" s="171"/>
      <c r="AV77"/>
      <c r="AW77"/>
      <c r="AX77" s="171"/>
      <c r="AY77"/>
      <c r="AZ77"/>
      <c r="BA77"/>
      <c r="BB77" s="171"/>
      <c r="BC77"/>
      <c r="BD77"/>
      <c r="BE77"/>
      <c r="BF77"/>
    </row>
    <row r="78" spans="1:82" x14ac:dyDescent="0.2">
      <c r="A78" s="24"/>
      <c r="B78" s="24"/>
      <c r="C78" s="23"/>
      <c r="D78"/>
      <c r="E78" s="41" t="s">
        <v>82</v>
      </c>
      <c r="F78" s="177"/>
      <c r="G78" s="42"/>
      <c r="H78"/>
      <c r="I78"/>
      <c r="J78" s="171"/>
      <c r="K78"/>
      <c r="L78"/>
      <c r="M78" s="171"/>
      <c r="N78"/>
      <c r="O78"/>
      <c r="P78" s="171"/>
      <c r="Q78"/>
      <c r="R78"/>
      <c r="S78" s="171"/>
      <c r="T78"/>
      <c r="U78"/>
      <c r="V78" s="171"/>
      <c r="W78"/>
      <c r="X78"/>
      <c r="Y78" s="171"/>
      <c r="Z78"/>
      <c r="AA78"/>
      <c r="AB78" s="171"/>
      <c r="AC78"/>
      <c r="AD78"/>
      <c r="AE78"/>
      <c r="AF78" s="171"/>
      <c r="AG78"/>
      <c r="AH78"/>
      <c r="AI78" s="171"/>
      <c r="AJ78"/>
      <c r="AK78"/>
      <c r="AL78" s="171"/>
      <c r="AM78"/>
      <c r="AN78"/>
      <c r="AO78" s="171"/>
      <c r="AP78"/>
      <c r="AQ78"/>
      <c r="AR78" s="171"/>
      <c r="AS78"/>
      <c r="AT78"/>
      <c r="AU78" s="171"/>
      <c r="AV78"/>
      <c r="AW78"/>
      <c r="AX78" s="171"/>
      <c r="AY78"/>
      <c r="AZ78"/>
      <c r="BA78"/>
      <c r="BB78" s="171"/>
      <c r="BC78"/>
      <c r="BD78"/>
      <c r="BE78"/>
      <c r="BF78"/>
    </row>
    <row r="79" spans="1:82" ht="13.5" thickBot="1" x14ac:dyDescent="0.25">
      <c r="A79" s="24"/>
      <c r="B79" s="24"/>
      <c r="C79" s="23"/>
      <c r="D79"/>
      <c r="E79" s="50"/>
      <c r="F79" s="178"/>
      <c r="G79" s="50"/>
      <c r="H79"/>
      <c r="I79"/>
      <c r="J79" s="171"/>
      <c r="K79"/>
      <c r="L79"/>
      <c r="M79" s="171"/>
      <c r="N79"/>
      <c r="O79"/>
      <c r="P79" s="171"/>
      <c r="Q79"/>
      <c r="R79"/>
      <c r="S79" s="171"/>
      <c r="T79"/>
      <c r="U79"/>
      <c r="V79" s="171"/>
      <c r="W79"/>
      <c r="X79"/>
      <c r="Y79" s="171"/>
      <c r="Z79"/>
      <c r="AA79"/>
      <c r="AB79" s="171"/>
      <c r="AC79"/>
      <c r="AD79"/>
      <c r="AE79"/>
      <c r="AF79" s="171"/>
      <c r="AG79"/>
      <c r="AH79"/>
      <c r="AI79" s="171"/>
      <c r="AJ79"/>
      <c r="AK79"/>
      <c r="AL79" s="171"/>
      <c r="AM79"/>
      <c r="AN79"/>
      <c r="AO79" s="171"/>
      <c r="AP79"/>
      <c r="AQ79"/>
      <c r="AR79" s="171"/>
      <c r="AS79"/>
      <c r="AT79"/>
      <c r="AU79" s="171"/>
      <c r="AV79"/>
      <c r="AW79"/>
      <c r="AX79" s="171"/>
      <c r="AY79"/>
      <c r="AZ79"/>
      <c r="BA79"/>
      <c r="BB79" s="171"/>
      <c r="BC79"/>
      <c r="BD79"/>
      <c r="BE79"/>
      <c r="BF79"/>
    </row>
    <row r="80" spans="1:82" ht="14.25" thickTop="1" thickBot="1" x14ac:dyDescent="0.25">
      <c r="A80" s="24"/>
      <c r="B80" s="24"/>
      <c r="C80" s="23"/>
      <c r="D80"/>
      <c r="E80" s="43" t="s">
        <v>25</v>
      </c>
      <c r="F80" s="179"/>
      <c r="G80" s="44" t="s">
        <v>26</v>
      </c>
      <c r="H80"/>
      <c r="I80"/>
      <c r="J80" s="171"/>
      <c r="K80"/>
      <c r="L80"/>
      <c r="M80" s="171"/>
      <c r="N80"/>
      <c r="O80"/>
      <c r="P80" s="171"/>
      <c r="Q80"/>
      <c r="R80"/>
      <c r="S80" s="171"/>
      <c r="T80"/>
      <c r="U80"/>
      <c r="V80" s="171"/>
      <c r="W80"/>
      <c r="X80"/>
      <c r="Y80" s="171"/>
      <c r="Z80"/>
      <c r="AA80"/>
      <c r="AB80" s="171"/>
      <c r="AC80"/>
      <c r="AD80"/>
      <c r="AE80"/>
      <c r="AF80" s="171"/>
      <c r="AG80"/>
      <c r="AH80"/>
      <c r="AI80" s="171"/>
      <c r="AJ80"/>
      <c r="AK80"/>
      <c r="AL80" s="171"/>
      <c r="AM80"/>
      <c r="AN80"/>
      <c r="AO80" s="171"/>
      <c r="AP80"/>
      <c r="AQ80"/>
      <c r="AR80" s="171"/>
      <c r="AS80"/>
      <c r="AT80"/>
      <c r="AU80" s="171"/>
      <c r="AV80"/>
      <c r="AW80"/>
      <c r="AX80" s="171"/>
      <c r="AY80"/>
      <c r="AZ80"/>
      <c r="BA80"/>
      <c r="BB80" s="171"/>
      <c r="BC80"/>
      <c r="BD80"/>
      <c r="BE80"/>
      <c r="BF80"/>
    </row>
    <row r="81" spans="1:58" ht="13.5" thickTop="1" x14ac:dyDescent="0.2">
      <c r="A81" s="24"/>
      <c r="B81" s="24"/>
      <c r="C81" s="23"/>
      <c r="D81"/>
      <c r="E81"/>
      <c r="F81" s="171"/>
      <c r="G81"/>
      <c r="H81"/>
      <c r="I81"/>
      <c r="J81" s="171"/>
      <c r="K81"/>
      <c r="L81"/>
      <c r="M81" s="171"/>
      <c r="N81"/>
      <c r="O81"/>
      <c r="P81" s="171"/>
      <c r="Q81"/>
      <c r="R81"/>
      <c r="S81" s="171"/>
      <c r="T81"/>
      <c r="U81"/>
      <c r="V81" s="171"/>
      <c r="W81"/>
      <c r="X81"/>
      <c r="Y81" s="171"/>
      <c r="Z81"/>
      <c r="AA81"/>
      <c r="AB81" s="171"/>
      <c r="AC81"/>
      <c r="AD81"/>
      <c r="AE81"/>
      <c r="AF81" s="171"/>
      <c r="AG81"/>
      <c r="AH81"/>
      <c r="AI81" s="171"/>
      <c r="AJ81"/>
      <c r="AK81"/>
      <c r="AL81" s="171"/>
      <c r="AM81"/>
      <c r="AN81"/>
      <c r="AO81" s="171"/>
      <c r="AP81"/>
      <c r="AQ81"/>
      <c r="AR81" s="171"/>
      <c r="AS81"/>
      <c r="AT81"/>
      <c r="AU81" s="171"/>
      <c r="AV81"/>
      <c r="AW81"/>
      <c r="AX81" s="171"/>
      <c r="AY81"/>
      <c r="AZ81"/>
      <c r="BA81"/>
      <c r="BB81" s="171"/>
      <c r="BC81"/>
      <c r="BD81"/>
      <c r="BE81"/>
      <c r="BF81"/>
    </row>
    <row r="82" spans="1:58" x14ac:dyDescent="0.2">
      <c r="A82" s="24"/>
      <c r="B82" s="24"/>
      <c r="C82" s="23"/>
      <c r="D82"/>
      <c r="E82" s="51" t="s">
        <v>7</v>
      </c>
      <c r="F82" s="180"/>
      <c r="G82" s="49" t="s">
        <v>36</v>
      </c>
      <c r="H82" s="25"/>
      <c r="I82" s="26"/>
      <c r="J82" s="184"/>
      <c r="K82" s="26"/>
      <c r="L82" s="26"/>
      <c r="M82" s="184"/>
      <c r="N82" s="26"/>
      <c r="O82" s="26"/>
      <c r="P82" s="184"/>
      <c r="Q82" s="26"/>
      <c r="R82" s="26"/>
      <c r="S82" s="184"/>
      <c r="T82" s="26"/>
      <c r="U82" s="26"/>
      <c r="V82" s="184"/>
      <c r="W82" s="26"/>
      <c r="X82" s="26"/>
      <c r="Y82" s="184"/>
      <c r="Z82" s="26"/>
      <c r="AA82" s="26"/>
      <c r="AB82" s="184"/>
      <c r="AC82" s="26"/>
      <c r="AD82" s="25"/>
      <c r="AE82" s="26"/>
      <c r="AF82" s="184"/>
      <c r="AG82" s="26"/>
      <c r="AH82" s="26"/>
      <c r="AI82" s="184"/>
      <c r="AJ82" s="26"/>
      <c r="AK82" s="26"/>
      <c r="AL82" s="184"/>
      <c r="AM82" s="26"/>
      <c r="AN82" s="26"/>
      <c r="AO82" s="184"/>
      <c r="AP82" s="26"/>
      <c r="AQ82" s="26"/>
      <c r="AR82" s="184"/>
      <c r="AS82" s="26"/>
      <c r="AT82" s="26"/>
      <c r="AU82" s="184"/>
      <c r="AV82" s="26"/>
      <c r="AW82" s="26"/>
      <c r="AX82" s="184"/>
      <c r="AY82" s="26"/>
      <c r="AZ82" s="26"/>
      <c r="BA82" s="26"/>
      <c r="BB82" s="184"/>
      <c r="BC82" s="26"/>
      <c r="BD82" s="26"/>
      <c r="BE82" s="26"/>
    </row>
    <row r="83" spans="1:58" x14ac:dyDescent="0.2">
      <c r="A83" s="24"/>
      <c r="B83" s="24"/>
      <c r="C83" s="23"/>
      <c r="D83"/>
      <c r="E83"/>
      <c r="F83" s="171"/>
      <c r="G83"/>
      <c r="H83" s="25"/>
      <c r="I83" s="26"/>
      <c r="J83" s="184"/>
      <c r="K83" s="26"/>
      <c r="L83" s="26"/>
      <c r="M83" s="184"/>
      <c r="N83" s="26"/>
      <c r="O83" s="26"/>
      <c r="P83" s="184"/>
      <c r="Q83" s="26"/>
      <c r="R83" s="26"/>
      <c r="S83" s="184"/>
      <c r="T83" s="26"/>
      <c r="U83" s="26"/>
      <c r="V83" s="184"/>
      <c r="W83" s="26"/>
      <c r="X83" s="26"/>
      <c r="Y83" s="184"/>
      <c r="Z83" s="26"/>
      <c r="AA83" s="26"/>
      <c r="AB83" s="184"/>
      <c r="AC83" s="26"/>
      <c r="AD83" s="25"/>
      <c r="AE83" s="26"/>
      <c r="AF83" s="184"/>
      <c r="AG83" s="26"/>
      <c r="AH83" s="26"/>
      <c r="AI83" s="184"/>
      <c r="AJ83" s="26"/>
      <c r="AK83" s="26"/>
      <c r="AL83" s="184"/>
      <c r="AM83" s="26"/>
      <c r="AN83" s="26"/>
      <c r="AO83" s="184"/>
      <c r="AP83" s="26"/>
      <c r="AQ83" s="26"/>
      <c r="AR83" s="184"/>
      <c r="AS83" s="26"/>
      <c r="AT83" s="26"/>
      <c r="AU83" s="184"/>
      <c r="AV83" s="26"/>
      <c r="AW83" s="26"/>
      <c r="AX83" s="184"/>
      <c r="AY83" s="26"/>
      <c r="AZ83" s="26"/>
      <c r="BA83" s="26"/>
      <c r="BB83" s="184"/>
      <c r="BC83" s="26"/>
      <c r="BD83" s="26"/>
      <c r="BE83" s="26"/>
    </row>
    <row r="84" spans="1:58" x14ac:dyDescent="0.2">
      <c r="A84" s="24"/>
      <c r="B84" s="24"/>
      <c r="C84" s="23"/>
      <c r="D84"/>
      <c r="E84" s="110" t="s">
        <v>71</v>
      </c>
      <c r="F84" s="181"/>
      <c r="G84" s="109"/>
      <c r="H84" s="25"/>
      <c r="I84" s="26"/>
      <c r="J84" s="184"/>
      <c r="K84" s="26"/>
      <c r="L84" s="26"/>
      <c r="M84" s="184"/>
      <c r="N84" s="26"/>
      <c r="O84" s="26"/>
      <c r="P84" s="184"/>
      <c r="Q84" s="26"/>
      <c r="R84" s="26"/>
      <c r="S84" s="184"/>
      <c r="T84" s="26"/>
      <c r="U84" s="26"/>
      <c r="V84" s="184"/>
      <c r="W84" s="26"/>
      <c r="X84" s="26"/>
      <c r="Y84" s="184"/>
      <c r="Z84" s="26"/>
      <c r="AA84" s="26"/>
      <c r="AB84" s="184"/>
      <c r="AC84" s="26"/>
      <c r="AD84" s="25"/>
      <c r="AE84" s="26"/>
      <c r="AF84" s="184"/>
      <c r="AG84" s="26"/>
      <c r="AH84" s="26"/>
      <c r="AI84" s="184"/>
      <c r="AJ84" s="26"/>
      <c r="AK84" s="26"/>
      <c r="AL84" s="184"/>
      <c r="AM84" s="26"/>
      <c r="AN84" s="26"/>
      <c r="AO84" s="184"/>
      <c r="AP84" s="26"/>
      <c r="AQ84" s="26"/>
      <c r="AR84" s="184"/>
      <c r="AS84" s="26"/>
      <c r="AT84" s="26"/>
      <c r="AU84" s="184"/>
      <c r="AV84" s="26"/>
      <c r="AW84" s="26"/>
      <c r="AX84" s="184"/>
      <c r="AY84" s="26"/>
      <c r="AZ84" s="26"/>
      <c r="BA84" s="26"/>
      <c r="BB84" s="184"/>
      <c r="BC84" s="26"/>
      <c r="BD84" s="26"/>
      <c r="BE84" s="26"/>
    </row>
    <row r="85" spans="1:58" x14ac:dyDescent="0.2">
      <c r="B85" s="24"/>
      <c r="C85" s="23"/>
      <c r="D85"/>
      <c r="E85" s="116" t="s">
        <v>80</v>
      </c>
      <c r="F85" s="182"/>
      <c r="G85" s="115" t="s">
        <v>81</v>
      </c>
      <c r="H85" s="25"/>
      <c r="I85" s="26"/>
      <c r="J85" s="184"/>
      <c r="K85" s="26"/>
      <c r="L85" s="26"/>
      <c r="M85" s="184"/>
      <c r="N85" s="26"/>
      <c r="O85" s="26"/>
      <c r="P85" s="184"/>
      <c r="Q85" s="26"/>
      <c r="R85" s="26"/>
      <c r="S85" s="184"/>
      <c r="T85" s="26"/>
      <c r="U85" s="26"/>
      <c r="V85" s="184"/>
      <c r="W85" s="26"/>
      <c r="X85" s="26"/>
      <c r="Y85" s="184"/>
      <c r="Z85" s="26"/>
      <c r="AA85" s="26"/>
      <c r="AB85" s="184"/>
      <c r="AC85" s="26"/>
      <c r="AD85" s="25"/>
      <c r="AE85" s="26"/>
      <c r="AF85" s="184"/>
      <c r="AG85" s="26"/>
      <c r="AH85" s="26"/>
      <c r="AI85" s="184"/>
      <c r="AJ85" s="26"/>
      <c r="AK85" s="26"/>
      <c r="AL85" s="184"/>
      <c r="AM85" s="26"/>
      <c r="AN85" s="26"/>
      <c r="AO85" s="184"/>
      <c r="AP85" s="26"/>
      <c r="AQ85" s="26"/>
      <c r="AR85" s="184"/>
      <c r="AS85" s="26"/>
      <c r="AT85" s="26"/>
      <c r="AU85" s="184"/>
      <c r="AV85" s="26"/>
      <c r="AW85" s="26"/>
      <c r="AX85" s="184"/>
      <c r="AY85" s="26"/>
      <c r="AZ85" s="26"/>
      <c r="BA85" s="26"/>
      <c r="BB85" s="184"/>
      <c r="BC85" s="26"/>
      <c r="BD85" s="26"/>
      <c r="BE85" s="26"/>
    </row>
    <row r="86" spans="1:58" x14ac:dyDescent="0.2">
      <c r="A86" s="24"/>
      <c r="B86" s="24"/>
      <c r="C86" s="23"/>
      <c r="D86"/>
      <c r="E86"/>
      <c r="F86" s="171"/>
      <c r="G86"/>
      <c r="H86" s="25"/>
      <c r="I86" s="26"/>
      <c r="J86" s="184"/>
      <c r="K86" s="26"/>
      <c r="L86" s="26"/>
      <c r="M86" s="184"/>
      <c r="N86" s="26"/>
      <c r="O86" s="26"/>
      <c r="P86" s="184"/>
      <c r="Q86" s="26"/>
      <c r="R86" s="26"/>
      <c r="S86" s="184"/>
      <c r="T86" s="26"/>
      <c r="U86" s="26"/>
      <c r="V86" s="184"/>
      <c r="W86" s="26"/>
      <c r="X86" s="26"/>
      <c r="Y86" s="184"/>
      <c r="Z86" s="26"/>
      <c r="AA86" s="26"/>
      <c r="AB86" s="184"/>
      <c r="AC86" s="26"/>
      <c r="AD86" s="25"/>
      <c r="AE86" s="26"/>
      <c r="AF86" s="184"/>
      <c r="AG86" s="26"/>
      <c r="AH86" s="26"/>
      <c r="AI86" s="184"/>
      <c r="AJ86" s="26"/>
      <c r="AK86" s="26"/>
      <c r="AL86" s="184"/>
      <c r="AM86" s="26"/>
      <c r="AN86" s="26"/>
      <c r="AO86" s="184"/>
      <c r="AP86" s="26"/>
      <c r="AQ86" s="26"/>
      <c r="AR86" s="184"/>
      <c r="AS86" s="26"/>
      <c r="AT86" s="26"/>
      <c r="AU86" s="184"/>
      <c r="AV86" s="26"/>
      <c r="AW86" s="26"/>
      <c r="AX86" s="184"/>
      <c r="AY86" s="26"/>
      <c r="AZ86" s="26"/>
      <c r="BA86" s="26"/>
      <c r="BB86" s="184"/>
      <c r="BC86" s="26"/>
      <c r="BD86" s="26"/>
      <c r="BE86" s="26"/>
    </row>
    <row r="87" spans="1:58" x14ac:dyDescent="0.2">
      <c r="A87" s="24"/>
      <c r="B87" s="24"/>
      <c r="C87" s="23"/>
      <c r="D87"/>
      <c r="E87" s="22" t="s">
        <v>89</v>
      </c>
      <c r="F87" s="167"/>
      <c r="G87" s="18" t="s">
        <v>86</v>
      </c>
      <c r="H87" s="25"/>
      <c r="I87" s="26"/>
      <c r="J87" s="184"/>
      <c r="K87" s="26"/>
      <c r="L87" s="26"/>
      <c r="M87" s="184"/>
      <c r="N87" s="26"/>
      <c r="O87" s="26"/>
      <c r="P87" s="184"/>
      <c r="Q87" s="26"/>
      <c r="R87" s="26"/>
      <c r="S87" s="184"/>
      <c r="T87" s="26"/>
      <c r="U87" s="26"/>
      <c r="V87" s="184"/>
      <c r="W87" s="26"/>
      <c r="X87" s="26"/>
      <c r="Y87" s="184"/>
      <c r="Z87" s="26"/>
      <c r="AA87" s="26"/>
      <c r="AB87" s="184"/>
      <c r="AC87" s="26"/>
      <c r="AD87" s="25"/>
      <c r="AE87" s="26"/>
      <c r="AF87" s="184"/>
      <c r="AG87" s="26"/>
      <c r="AH87" s="26"/>
      <c r="AI87" s="184"/>
      <c r="AJ87" s="26"/>
      <c r="AK87" s="26"/>
      <c r="AL87" s="184"/>
      <c r="AM87" s="26"/>
      <c r="AN87" s="26"/>
      <c r="AO87" s="184"/>
      <c r="AP87" s="26"/>
      <c r="AQ87" s="26"/>
      <c r="AR87" s="184"/>
      <c r="AS87" s="26"/>
      <c r="AT87" s="26"/>
      <c r="AU87" s="184"/>
      <c r="AV87" s="26"/>
      <c r="AW87" s="26"/>
      <c r="AX87" s="184"/>
      <c r="AY87" s="26"/>
      <c r="AZ87" s="26"/>
      <c r="BA87" s="26"/>
      <c r="BB87" s="184"/>
      <c r="BC87" s="26"/>
      <c r="BD87" s="26"/>
      <c r="BE87" s="26"/>
    </row>
    <row r="88" spans="1:58" x14ac:dyDescent="0.2">
      <c r="A88" s="24"/>
      <c r="B88" s="24"/>
      <c r="C88" s="23"/>
      <c r="D88"/>
      <c r="E88" s="134" t="s">
        <v>105</v>
      </c>
      <c r="F88" s="168"/>
      <c r="G88" s="21" t="s">
        <v>89</v>
      </c>
      <c r="H88" s="25"/>
      <c r="I88" s="26"/>
      <c r="J88" s="184"/>
      <c r="K88" s="26"/>
      <c r="L88" s="26"/>
      <c r="M88" s="184"/>
      <c r="N88" s="26"/>
      <c r="O88" s="26"/>
      <c r="P88" s="184"/>
      <c r="Q88" s="26"/>
      <c r="R88" s="26"/>
      <c r="S88" s="184"/>
      <c r="T88" s="26"/>
      <c r="U88" s="26"/>
      <c r="V88" s="184"/>
      <c r="W88" s="26"/>
      <c r="X88" s="26"/>
      <c r="Y88" s="184"/>
      <c r="Z88" s="26"/>
      <c r="AA88" s="26"/>
      <c r="AB88" s="184"/>
      <c r="AC88" s="26"/>
      <c r="AD88" s="25"/>
      <c r="AE88" s="26"/>
      <c r="AF88" s="184"/>
      <c r="AG88" s="26"/>
      <c r="AH88" s="26"/>
      <c r="AI88" s="184"/>
      <c r="AJ88" s="26"/>
      <c r="AK88" s="26"/>
      <c r="AL88" s="184"/>
      <c r="AM88" s="26"/>
      <c r="AN88" s="26"/>
      <c r="AO88" s="184"/>
      <c r="AP88" s="26"/>
      <c r="AQ88" s="26"/>
      <c r="AR88" s="184"/>
      <c r="AS88" s="26"/>
      <c r="AT88" s="26"/>
      <c r="AU88" s="184"/>
      <c r="AV88" s="26"/>
      <c r="AW88" s="26"/>
      <c r="AX88" s="184"/>
      <c r="AY88" s="26"/>
      <c r="AZ88" s="26"/>
      <c r="BA88" s="26"/>
      <c r="BB88" s="184"/>
      <c r="BC88" s="26"/>
      <c r="BD88" s="26"/>
      <c r="BE88" s="26"/>
    </row>
    <row r="89" spans="1:58" x14ac:dyDescent="0.2">
      <c r="A89" s="24"/>
      <c r="B89" s="24"/>
      <c r="C89" s="23"/>
      <c r="D89"/>
      <c r="E89"/>
      <c r="F89" s="171"/>
      <c r="G89"/>
      <c r="H89" s="25"/>
      <c r="I89" s="26"/>
      <c r="J89" s="184"/>
      <c r="K89" s="26"/>
      <c r="L89" s="26"/>
      <c r="M89" s="184"/>
      <c r="N89" s="26"/>
      <c r="O89" s="26"/>
      <c r="P89" s="184"/>
      <c r="Q89" s="26"/>
      <c r="R89" s="26"/>
      <c r="S89" s="184"/>
      <c r="T89" s="26"/>
      <c r="U89" s="26"/>
      <c r="V89" s="184"/>
      <c r="W89" s="26"/>
      <c r="X89" s="26"/>
      <c r="Y89" s="184"/>
      <c r="Z89" s="26"/>
      <c r="AA89" s="26"/>
      <c r="AB89" s="184"/>
      <c r="AC89" s="26"/>
      <c r="AD89" s="25"/>
      <c r="AE89" s="26"/>
      <c r="AF89" s="184"/>
      <c r="AG89" s="26"/>
      <c r="AH89" s="26"/>
      <c r="AI89" s="184"/>
      <c r="AJ89" s="26"/>
      <c r="AK89" s="26"/>
      <c r="AL89" s="184"/>
      <c r="AM89" s="26"/>
      <c r="AN89" s="26"/>
      <c r="AO89" s="184"/>
      <c r="AP89" s="26"/>
      <c r="AQ89" s="26"/>
      <c r="AR89" s="184"/>
      <c r="AS89" s="26"/>
      <c r="AT89" s="26"/>
      <c r="AU89" s="184"/>
      <c r="AV89" s="26"/>
      <c r="AW89" s="26"/>
      <c r="AX89" s="184"/>
      <c r="AY89" s="26"/>
      <c r="AZ89" s="26"/>
      <c r="BA89" s="26"/>
      <c r="BB89" s="184"/>
      <c r="BC89" s="26"/>
      <c r="BD89" s="26"/>
      <c r="BE89" s="26"/>
    </row>
    <row r="90" spans="1:58" x14ac:dyDescent="0.2">
      <c r="A90" s="278" t="s">
        <v>148</v>
      </c>
      <c r="B90" s="24"/>
      <c r="C90" s="23"/>
      <c r="D90"/>
      <c r="E90"/>
      <c r="F90" s="171"/>
      <c r="G90"/>
      <c r="H90" s="25"/>
      <c r="I90" s="26"/>
      <c r="J90" s="184"/>
      <c r="K90" s="26"/>
      <c r="L90" s="26"/>
      <c r="M90" s="184"/>
      <c r="N90" s="26"/>
      <c r="O90" s="26"/>
      <c r="P90" s="184"/>
      <c r="Q90" s="26"/>
      <c r="R90" s="26"/>
      <c r="S90" s="184"/>
      <c r="T90" s="26"/>
      <c r="U90" s="26"/>
      <c r="V90" s="184"/>
      <c r="W90" s="26"/>
      <c r="X90" s="26"/>
      <c r="Y90" s="184"/>
      <c r="Z90" s="26"/>
      <c r="AA90" s="26"/>
      <c r="AB90" s="184"/>
      <c r="AC90" s="26"/>
      <c r="AD90" s="25"/>
      <c r="AE90" s="26"/>
      <c r="AF90" s="184"/>
      <c r="AG90" s="26"/>
      <c r="AH90" s="26"/>
      <c r="AI90" s="184"/>
      <c r="AJ90" s="26"/>
      <c r="AK90" s="26"/>
      <c r="AL90" s="184"/>
      <c r="AM90" s="26"/>
      <c r="AN90" s="26"/>
      <c r="AO90" s="184"/>
      <c r="AP90" s="26"/>
      <c r="AQ90" s="26"/>
      <c r="AR90" s="184"/>
      <c r="AS90" s="26"/>
      <c r="AT90" s="26"/>
      <c r="AU90" s="184"/>
      <c r="AV90" s="26"/>
      <c r="AW90" s="26"/>
      <c r="AX90" s="184"/>
      <c r="AY90" s="26"/>
      <c r="AZ90" s="26"/>
      <c r="BA90" s="26"/>
      <c r="BB90" s="184"/>
      <c r="BC90" s="26"/>
      <c r="BD90" s="26"/>
      <c r="BE90" s="26"/>
    </row>
    <row r="91" spans="1:58" x14ac:dyDescent="0.2">
      <c r="A91" s="24"/>
      <c r="B91" s="24"/>
      <c r="C91" s="23"/>
      <c r="D91"/>
      <c r="E91"/>
      <c r="F91" s="171"/>
      <c r="G91"/>
      <c r="H91" s="25"/>
      <c r="I91" s="26"/>
      <c r="J91" s="184"/>
      <c r="K91" s="26"/>
      <c r="L91" s="26"/>
      <c r="M91" s="184"/>
      <c r="N91" s="26"/>
      <c r="O91" s="26"/>
      <c r="P91" s="184"/>
      <c r="Q91" s="26"/>
      <c r="R91" s="26"/>
      <c r="S91" s="184"/>
      <c r="T91" s="26"/>
      <c r="U91" s="26"/>
      <c r="V91" s="184"/>
      <c r="W91" s="26"/>
      <c r="X91" s="26"/>
      <c r="Y91" s="184"/>
      <c r="Z91" s="26"/>
      <c r="AA91" s="26"/>
      <c r="AB91" s="184"/>
      <c r="AC91" s="26"/>
      <c r="AD91" s="25"/>
      <c r="AE91" s="26"/>
      <c r="AF91" s="184"/>
      <c r="AG91" s="26"/>
      <c r="AH91" s="26"/>
      <c r="AI91" s="184"/>
      <c r="AJ91" s="26"/>
      <c r="AK91" s="26"/>
      <c r="AL91" s="184"/>
      <c r="AM91" s="26"/>
      <c r="AN91" s="26"/>
      <c r="AO91" s="184"/>
      <c r="AP91" s="26"/>
      <c r="AQ91" s="26"/>
      <c r="AR91" s="184"/>
      <c r="AS91" s="26"/>
      <c r="AT91" s="26"/>
      <c r="AU91" s="184"/>
      <c r="AV91" s="26"/>
      <c r="AW91" s="26"/>
      <c r="AX91" s="184"/>
      <c r="AY91" s="26"/>
      <c r="AZ91" s="26"/>
      <c r="BA91" s="26"/>
      <c r="BB91" s="184"/>
      <c r="BC91" s="26"/>
      <c r="BD91" s="26"/>
      <c r="BE91" s="26"/>
    </row>
    <row r="92" spans="1:58" x14ac:dyDescent="0.2">
      <c r="A92" s="24"/>
      <c r="B92" s="24"/>
      <c r="C92" s="23"/>
      <c r="D92"/>
      <c r="E92"/>
      <c r="F92" s="171"/>
      <c r="G92"/>
      <c r="H92" s="25"/>
      <c r="I92" s="26"/>
      <c r="J92" s="184"/>
      <c r="K92" s="26"/>
      <c r="L92" s="26"/>
      <c r="M92" s="184"/>
      <c r="N92" s="26"/>
      <c r="O92" s="26"/>
      <c r="P92" s="184"/>
      <c r="Q92" s="26"/>
      <c r="R92" s="26"/>
      <c r="S92" s="184"/>
      <c r="T92" s="26"/>
      <c r="U92" s="26"/>
      <c r="V92" s="184"/>
      <c r="W92" s="26"/>
      <c r="X92" s="26"/>
      <c r="Y92" s="184"/>
      <c r="Z92" s="26"/>
      <c r="AA92" s="26"/>
      <c r="AB92" s="184"/>
      <c r="AC92" s="26"/>
      <c r="AD92" s="25"/>
      <c r="AE92" s="26"/>
      <c r="AF92" s="184"/>
      <c r="AG92" s="26"/>
      <c r="AH92" s="26"/>
      <c r="AI92" s="184"/>
      <c r="AJ92" s="26"/>
      <c r="AK92" s="26"/>
      <c r="AL92" s="184"/>
      <c r="AM92" s="26"/>
      <c r="AN92" s="26"/>
      <c r="AO92" s="184"/>
      <c r="AP92" s="26"/>
      <c r="AQ92" s="26"/>
      <c r="AR92" s="184"/>
      <c r="AS92" s="26"/>
      <c r="AT92" s="26"/>
      <c r="AU92" s="184"/>
      <c r="AV92" s="26"/>
      <c r="AW92" s="26"/>
      <c r="AX92" s="184"/>
      <c r="AY92" s="26"/>
      <c r="AZ92" s="26"/>
      <c r="BA92" s="26"/>
      <c r="BB92" s="184"/>
      <c r="BC92" s="26"/>
      <c r="BD92" s="26"/>
      <c r="BE92" s="26"/>
    </row>
    <row r="93" spans="1:58" x14ac:dyDescent="0.2">
      <c r="A93" s="24"/>
      <c r="B93" s="24"/>
      <c r="C93" s="23"/>
      <c r="D93"/>
      <c r="E93"/>
      <c r="F93" s="171"/>
      <c r="G93"/>
      <c r="H93" s="25"/>
      <c r="I93" s="26"/>
      <c r="J93" s="184"/>
      <c r="K93" s="26"/>
      <c r="L93" s="26"/>
      <c r="M93" s="184"/>
      <c r="N93" s="26"/>
      <c r="O93" s="26"/>
      <c r="P93" s="184"/>
      <c r="Q93" s="26"/>
      <c r="R93" s="26"/>
      <c r="S93" s="184"/>
      <c r="T93" s="26"/>
      <c r="U93" s="26"/>
      <c r="V93" s="184"/>
      <c r="W93" s="26"/>
      <c r="X93" s="26"/>
      <c r="Y93" s="184"/>
      <c r="Z93" s="26"/>
      <c r="AA93" s="26"/>
      <c r="AB93" s="184"/>
      <c r="AC93" s="26"/>
      <c r="AD93" s="25"/>
      <c r="AE93" s="26"/>
      <c r="AF93" s="184"/>
      <c r="AG93" s="26"/>
      <c r="AH93" s="26"/>
      <c r="AI93" s="184"/>
      <c r="AJ93" s="26"/>
      <c r="AK93" s="26"/>
      <c r="AL93" s="184"/>
      <c r="AM93" s="26"/>
      <c r="AN93" s="26"/>
      <c r="AO93" s="184"/>
      <c r="AP93" s="26"/>
      <c r="AQ93" s="26"/>
      <c r="AR93" s="184"/>
      <c r="AS93" s="26"/>
      <c r="AT93" s="26"/>
      <c r="AU93" s="184"/>
      <c r="AV93" s="26"/>
      <c r="AW93" s="26"/>
      <c r="AX93" s="184"/>
      <c r="AY93" s="26"/>
      <c r="AZ93" s="26"/>
      <c r="BA93" s="26"/>
      <c r="BB93" s="184"/>
      <c r="BC93" s="26"/>
      <c r="BD93" s="26"/>
      <c r="BE93" s="26"/>
    </row>
    <row r="94" spans="1:58" x14ac:dyDescent="0.2">
      <c r="A94" s="24"/>
      <c r="B94" s="24"/>
      <c r="C94" s="23"/>
      <c r="D94"/>
      <c r="E94"/>
      <c r="F94" s="171"/>
      <c r="G94"/>
      <c r="H94" s="25"/>
      <c r="I94" s="26"/>
      <c r="J94" s="184"/>
      <c r="K94" s="26"/>
      <c r="L94" s="26"/>
      <c r="M94" s="184"/>
      <c r="N94" s="26"/>
      <c r="O94" s="26"/>
      <c r="P94" s="184"/>
      <c r="Q94" s="26"/>
      <c r="R94" s="26"/>
      <c r="S94" s="184"/>
      <c r="T94" s="26"/>
      <c r="U94" s="26"/>
      <c r="V94" s="184"/>
      <c r="W94" s="26"/>
      <c r="X94" s="26"/>
      <c r="Y94" s="184"/>
      <c r="Z94" s="26"/>
      <c r="AA94" s="26"/>
      <c r="AB94" s="184"/>
      <c r="AC94" s="26"/>
      <c r="AD94" s="25"/>
      <c r="AE94" s="26"/>
      <c r="AF94" s="184"/>
      <c r="AG94" s="26"/>
      <c r="AH94" s="26"/>
      <c r="AI94" s="184"/>
      <c r="AJ94" s="26"/>
      <c r="AK94" s="26"/>
      <c r="AL94" s="184"/>
      <c r="AM94" s="26"/>
      <c r="AN94" s="26"/>
      <c r="AO94" s="184"/>
      <c r="AP94" s="26"/>
      <c r="AQ94" s="26"/>
      <c r="AR94" s="184"/>
      <c r="AS94" s="26"/>
      <c r="AT94" s="26"/>
      <c r="AU94" s="184"/>
      <c r="AV94" s="26"/>
      <c r="AW94" s="26"/>
      <c r="AX94" s="184"/>
      <c r="AY94" s="26"/>
      <c r="AZ94" s="26"/>
      <c r="BA94" s="26"/>
      <c r="BB94" s="184"/>
      <c r="BC94" s="26"/>
      <c r="BD94" s="26"/>
      <c r="BE94" s="26"/>
    </row>
    <row r="95" spans="1:58" x14ac:dyDescent="0.2">
      <c r="A95" s="24"/>
      <c r="B95" s="24"/>
      <c r="C95" s="23"/>
      <c r="D95"/>
      <c r="E95"/>
      <c r="F95" s="171"/>
      <c r="G95"/>
      <c r="H95" s="25"/>
      <c r="I95" s="26"/>
      <c r="J95" s="184"/>
      <c r="K95" s="26"/>
      <c r="L95" s="26"/>
      <c r="M95" s="184"/>
      <c r="N95" s="26"/>
      <c r="O95" s="26"/>
      <c r="P95" s="184"/>
      <c r="Q95" s="26"/>
      <c r="R95" s="26"/>
      <c r="S95" s="184"/>
      <c r="T95" s="26"/>
      <c r="U95" s="26"/>
      <c r="V95" s="184"/>
      <c r="W95" s="26"/>
      <c r="X95" s="26"/>
      <c r="Y95" s="184"/>
      <c r="Z95" s="26"/>
      <c r="AA95" s="26"/>
      <c r="AB95" s="184"/>
      <c r="AC95" s="26"/>
      <c r="AD95" s="25"/>
      <c r="AE95" s="26"/>
      <c r="AF95" s="184"/>
      <c r="AG95" s="26"/>
      <c r="AH95" s="26"/>
      <c r="AI95" s="184"/>
      <c r="AJ95" s="26"/>
      <c r="AK95" s="26"/>
      <c r="AL95" s="184"/>
      <c r="AM95" s="26"/>
      <c r="AN95" s="26"/>
      <c r="AO95" s="184"/>
      <c r="AP95" s="26"/>
      <c r="AQ95" s="26"/>
      <c r="AR95" s="184"/>
      <c r="AS95" s="26"/>
      <c r="AT95" s="26"/>
      <c r="AU95" s="184"/>
      <c r="AV95" s="26"/>
      <c r="AW95" s="26"/>
      <c r="AX95" s="184"/>
      <c r="AY95" s="26"/>
      <c r="AZ95" s="26"/>
      <c r="BA95" s="26"/>
      <c r="BB95" s="184"/>
      <c r="BC95" s="26"/>
      <c r="BD95" s="26"/>
      <c r="BE95" s="26"/>
    </row>
    <row r="96" spans="1:58" x14ac:dyDescent="0.2">
      <c r="D96"/>
      <c r="E96"/>
      <c r="F96" s="171"/>
      <c r="G96"/>
    </row>
    <row r="97" spans="1:7" x14ac:dyDescent="0.2">
      <c r="D97"/>
      <c r="E97"/>
      <c r="F97" s="171"/>
      <c r="G97"/>
    </row>
    <row r="98" spans="1:7" x14ac:dyDescent="0.2">
      <c r="D98"/>
      <c r="E98"/>
      <c r="F98" s="171"/>
      <c r="G98"/>
    </row>
    <row r="99" spans="1:7" x14ac:dyDescent="0.2">
      <c r="D99"/>
      <c r="E99"/>
      <c r="F99" s="171"/>
      <c r="G99"/>
    </row>
    <row r="100" spans="1:7" x14ac:dyDescent="0.2">
      <c r="D100"/>
      <c r="E100"/>
      <c r="F100" s="171"/>
      <c r="G100"/>
    </row>
    <row r="101" spans="1:7" x14ac:dyDescent="0.2">
      <c r="D101"/>
      <c r="E101"/>
      <c r="F101" s="171"/>
      <c r="G101"/>
    </row>
    <row r="102" spans="1:7" x14ac:dyDescent="0.2">
      <c r="D102"/>
      <c r="E102"/>
      <c r="F102" s="171"/>
      <c r="G102"/>
    </row>
    <row r="103" spans="1:7" x14ac:dyDescent="0.2">
      <c r="D103"/>
      <c r="E103"/>
      <c r="F103" s="171"/>
      <c r="G103"/>
    </row>
    <row r="104" spans="1:7" x14ac:dyDescent="0.2">
      <c r="D104"/>
      <c r="E104"/>
      <c r="F104" s="171"/>
      <c r="G104"/>
    </row>
    <row r="105" spans="1:7" x14ac:dyDescent="0.2">
      <c r="D105"/>
      <c r="E105"/>
      <c r="F105" s="171"/>
      <c r="G105"/>
    </row>
    <row r="106" spans="1:7" x14ac:dyDescent="0.2">
      <c r="D106"/>
      <c r="E106"/>
      <c r="F106" s="171"/>
      <c r="G106"/>
    </row>
    <row r="107" spans="1:7" x14ac:dyDescent="0.2">
      <c r="D107"/>
      <c r="E107"/>
      <c r="F107" s="171"/>
      <c r="G107"/>
    </row>
    <row r="108" spans="1:7" x14ac:dyDescent="0.2">
      <c r="D108"/>
      <c r="E108"/>
      <c r="F108" s="171"/>
      <c r="G108"/>
    </row>
    <row r="109" spans="1:7" x14ac:dyDescent="0.2">
      <c r="D109"/>
      <c r="E109"/>
      <c r="F109" s="171"/>
      <c r="G109"/>
    </row>
    <row r="110" spans="1:7" x14ac:dyDescent="0.2">
      <c r="D110"/>
      <c r="E110"/>
      <c r="F110" s="171"/>
      <c r="G110"/>
    </row>
    <row r="111" spans="1:7" x14ac:dyDescent="0.2">
      <c r="D111"/>
      <c r="E111"/>
      <c r="F111" s="171"/>
      <c r="G111"/>
    </row>
    <row r="112" spans="1:7" x14ac:dyDescent="0.2">
      <c r="A112" t="s">
        <v>13</v>
      </c>
      <c r="D112"/>
      <c r="E112"/>
      <c r="F112" s="171"/>
      <c r="G112"/>
    </row>
    <row r="113" spans="4:7" x14ac:dyDescent="0.2">
      <c r="D113"/>
      <c r="E113"/>
      <c r="F113" s="171"/>
      <c r="G113"/>
    </row>
    <row r="114" spans="4:7" x14ac:dyDescent="0.2">
      <c r="D114"/>
      <c r="E114"/>
      <c r="F114" s="171"/>
      <c r="G114"/>
    </row>
    <row r="115" spans="4:7" x14ac:dyDescent="0.2">
      <c r="D115"/>
      <c r="E115"/>
      <c r="F115" s="171"/>
      <c r="G115"/>
    </row>
    <row r="116" spans="4:7" x14ac:dyDescent="0.2">
      <c r="D116"/>
      <c r="E116"/>
      <c r="F116" s="171"/>
      <c r="G116"/>
    </row>
    <row r="117" spans="4:7" x14ac:dyDescent="0.2">
      <c r="D117"/>
      <c r="E117"/>
      <c r="F117" s="171"/>
      <c r="G117"/>
    </row>
    <row r="118" spans="4:7" x14ac:dyDescent="0.2">
      <c r="D118"/>
      <c r="E118"/>
      <c r="F118" s="171"/>
      <c r="G118"/>
    </row>
    <row r="119" spans="4:7" x14ac:dyDescent="0.2">
      <c r="D119"/>
      <c r="E119"/>
      <c r="F119" s="171"/>
      <c r="G119"/>
    </row>
    <row r="120" spans="4:7" x14ac:dyDescent="0.2">
      <c r="D120"/>
      <c r="E120"/>
      <c r="F120" s="171"/>
      <c r="G120"/>
    </row>
    <row r="121" spans="4:7" x14ac:dyDescent="0.2">
      <c r="D121"/>
      <c r="E121"/>
      <c r="F121" s="171"/>
      <c r="G121"/>
    </row>
    <row r="122" spans="4:7" x14ac:dyDescent="0.2">
      <c r="D122"/>
      <c r="E122"/>
      <c r="F122" s="171"/>
      <c r="G122"/>
    </row>
    <row r="123" spans="4:7" x14ac:dyDescent="0.2">
      <c r="D123"/>
      <c r="E123"/>
      <c r="F123" s="171"/>
      <c r="G123"/>
    </row>
    <row r="124" spans="4:7" x14ac:dyDescent="0.2">
      <c r="D124"/>
      <c r="E124"/>
      <c r="F124" s="171"/>
      <c r="G124"/>
    </row>
    <row r="125" spans="4:7" x14ac:dyDescent="0.2">
      <c r="D125"/>
      <c r="E125"/>
      <c r="F125" s="171"/>
      <c r="G125"/>
    </row>
    <row r="126" spans="4:7" x14ac:dyDescent="0.2">
      <c r="D126"/>
      <c r="E126"/>
      <c r="F126" s="171"/>
      <c r="G126"/>
    </row>
    <row r="127" spans="4:7" x14ac:dyDescent="0.2">
      <c r="D127"/>
      <c r="E127"/>
      <c r="F127" s="171"/>
      <c r="G127"/>
    </row>
    <row r="128" spans="4:7" x14ac:dyDescent="0.2">
      <c r="D128"/>
      <c r="E128"/>
      <c r="F128" s="171"/>
      <c r="G128"/>
    </row>
    <row r="129" spans="4:7" x14ac:dyDescent="0.2">
      <c r="D129"/>
      <c r="E129"/>
      <c r="F129" s="171"/>
      <c r="G129"/>
    </row>
    <row r="130" spans="4:7" x14ac:dyDescent="0.2">
      <c r="D130"/>
      <c r="E130"/>
      <c r="F130" s="171"/>
      <c r="G130"/>
    </row>
    <row r="131" spans="4:7" x14ac:dyDescent="0.2">
      <c r="D131"/>
      <c r="E131"/>
      <c r="F131" s="171"/>
      <c r="G131"/>
    </row>
    <row r="132" spans="4:7" x14ac:dyDescent="0.2">
      <c r="D132"/>
      <c r="E132"/>
      <c r="F132" s="171"/>
      <c r="G132"/>
    </row>
    <row r="133" spans="4:7" x14ac:dyDescent="0.2">
      <c r="D133"/>
      <c r="E133"/>
      <c r="F133" s="171"/>
      <c r="G133"/>
    </row>
    <row r="134" spans="4:7" x14ac:dyDescent="0.2">
      <c r="D134"/>
      <c r="E134"/>
      <c r="F134" s="171"/>
      <c r="G134"/>
    </row>
    <row r="135" spans="4:7" x14ac:dyDescent="0.2">
      <c r="D135"/>
      <c r="E135"/>
      <c r="F135" s="171"/>
      <c r="G135"/>
    </row>
    <row r="136" spans="4:7" x14ac:dyDescent="0.2">
      <c r="D136"/>
      <c r="E136"/>
      <c r="F136" s="171"/>
      <c r="G136"/>
    </row>
    <row r="137" spans="4:7" x14ac:dyDescent="0.2">
      <c r="D137"/>
      <c r="E137"/>
      <c r="F137" s="171"/>
      <c r="G137"/>
    </row>
    <row r="138" spans="4:7" x14ac:dyDescent="0.2">
      <c r="D138"/>
      <c r="E138"/>
      <c r="F138" s="171"/>
      <c r="G138"/>
    </row>
    <row r="139" spans="4:7" x14ac:dyDescent="0.2">
      <c r="D139"/>
      <c r="E139"/>
      <c r="F139" s="171"/>
      <c r="G139"/>
    </row>
    <row r="140" spans="4:7" x14ac:dyDescent="0.2">
      <c r="D140"/>
      <c r="E140"/>
      <c r="F140" s="171"/>
      <c r="G140"/>
    </row>
    <row r="141" spans="4:7" x14ac:dyDescent="0.2">
      <c r="D141"/>
      <c r="E141"/>
      <c r="F141" s="171"/>
      <c r="G141"/>
    </row>
    <row r="142" spans="4:7" x14ac:dyDescent="0.2">
      <c r="D142"/>
      <c r="E142"/>
      <c r="F142" s="171"/>
      <c r="G142"/>
    </row>
    <row r="143" spans="4:7" x14ac:dyDescent="0.2">
      <c r="D143"/>
      <c r="E143"/>
      <c r="F143" s="171"/>
      <c r="G143"/>
    </row>
    <row r="144" spans="4:7" x14ac:dyDescent="0.2">
      <c r="D144"/>
      <c r="E144"/>
      <c r="F144" s="171"/>
      <c r="G144"/>
    </row>
    <row r="145" spans="4:7" x14ac:dyDescent="0.2">
      <c r="D145"/>
      <c r="E145"/>
      <c r="F145" s="171"/>
      <c r="G145"/>
    </row>
    <row r="146" spans="4:7" x14ac:dyDescent="0.2">
      <c r="D146"/>
      <c r="E146"/>
      <c r="F146" s="171"/>
      <c r="G146"/>
    </row>
    <row r="147" spans="4:7" x14ac:dyDescent="0.2">
      <c r="D147"/>
      <c r="E147"/>
      <c r="F147" s="171"/>
      <c r="G147"/>
    </row>
    <row r="148" spans="4:7" x14ac:dyDescent="0.2">
      <c r="D148"/>
      <c r="E148"/>
      <c r="F148" s="171"/>
      <c r="G148"/>
    </row>
    <row r="149" spans="4:7" x14ac:dyDescent="0.2">
      <c r="D149"/>
      <c r="E149"/>
      <c r="F149" s="171"/>
      <c r="G149"/>
    </row>
    <row r="150" spans="4:7" x14ac:dyDescent="0.2">
      <c r="D150"/>
      <c r="E150"/>
      <c r="F150" s="171"/>
      <c r="G150"/>
    </row>
    <row r="151" spans="4:7" x14ac:dyDescent="0.2">
      <c r="D151"/>
      <c r="E151"/>
      <c r="F151" s="171"/>
      <c r="G151"/>
    </row>
    <row r="152" spans="4:7" x14ac:dyDescent="0.2">
      <c r="D152"/>
      <c r="E152"/>
      <c r="F152" s="171"/>
      <c r="G152"/>
    </row>
    <row r="153" spans="4:7" x14ac:dyDescent="0.2">
      <c r="D153"/>
      <c r="E153"/>
      <c r="F153" s="171"/>
      <c r="G153"/>
    </row>
    <row r="154" spans="4:7" x14ac:dyDescent="0.2">
      <c r="D154"/>
      <c r="E154"/>
      <c r="F154" s="171"/>
      <c r="G154"/>
    </row>
    <row r="155" spans="4:7" x14ac:dyDescent="0.2">
      <c r="D155"/>
      <c r="E155"/>
      <c r="F155" s="171"/>
      <c r="G155"/>
    </row>
    <row r="156" spans="4:7" x14ac:dyDescent="0.2">
      <c r="D156"/>
      <c r="E156"/>
      <c r="F156" s="171"/>
      <c r="G156"/>
    </row>
    <row r="157" spans="4:7" x14ac:dyDescent="0.2">
      <c r="D157"/>
      <c r="E157"/>
      <c r="F157" s="171"/>
      <c r="G157"/>
    </row>
    <row r="158" spans="4:7" x14ac:dyDescent="0.2">
      <c r="D158"/>
      <c r="E158"/>
      <c r="F158" s="171"/>
      <c r="G158"/>
    </row>
    <row r="159" spans="4:7" x14ac:dyDescent="0.2">
      <c r="D159"/>
      <c r="E159"/>
      <c r="F159" s="171"/>
      <c r="G159"/>
    </row>
    <row r="160" spans="4:7" x14ac:dyDescent="0.2">
      <c r="D160"/>
      <c r="E160"/>
      <c r="F160" s="171"/>
      <c r="G160"/>
    </row>
    <row r="161" spans="4:7" x14ac:dyDescent="0.2">
      <c r="D161"/>
      <c r="E161"/>
      <c r="F161" s="171"/>
      <c r="G161"/>
    </row>
    <row r="162" spans="4:7" x14ac:dyDescent="0.2">
      <c r="D162"/>
      <c r="E162"/>
      <c r="F162" s="171"/>
      <c r="G162"/>
    </row>
    <row r="163" spans="4:7" x14ac:dyDescent="0.2">
      <c r="D163"/>
      <c r="E163"/>
      <c r="F163" s="171"/>
      <c r="G163"/>
    </row>
    <row r="164" spans="4:7" x14ac:dyDescent="0.2">
      <c r="D164"/>
      <c r="E164"/>
      <c r="F164" s="171"/>
      <c r="G164"/>
    </row>
    <row r="165" spans="4:7" x14ac:dyDescent="0.2">
      <c r="D165"/>
      <c r="E165"/>
      <c r="F165" s="171"/>
      <c r="G165"/>
    </row>
    <row r="166" spans="4:7" x14ac:dyDescent="0.2">
      <c r="D166"/>
      <c r="E166"/>
      <c r="F166" s="171"/>
      <c r="G166"/>
    </row>
    <row r="167" spans="4:7" x14ac:dyDescent="0.2">
      <c r="D167"/>
      <c r="E167"/>
      <c r="F167" s="171"/>
      <c r="G167"/>
    </row>
    <row r="168" spans="4:7" x14ac:dyDescent="0.2">
      <c r="D168"/>
      <c r="E168"/>
      <c r="F168" s="171"/>
      <c r="G168"/>
    </row>
    <row r="169" spans="4:7" x14ac:dyDescent="0.2">
      <c r="D169"/>
      <c r="E169"/>
      <c r="F169" s="171"/>
      <c r="G169"/>
    </row>
    <row r="170" spans="4:7" x14ac:dyDescent="0.2">
      <c r="D170"/>
      <c r="E170"/>
      <c r="F170" s="171"/>
      <c r="G170"/>
    </row>
    <row r="171" spans="4:7" x14ac:dyDescent="0.2">
      <c r="D171"/>
      <c r="E171"/>
      <c r="F171" s="171"/>
      <c r="G171"/>
    </row>
    <row r="172" spans="4:7" x14ac:dyDescent="0.2">
      <c r="D172"/>
      <c r="E172"/>
      <c r="F172" s="171"/>
      <c r="G172"/>
    </row>
    <row r="173" spans="4:7" x14ac:dyDescent="0.2">
      <c r="D173"/>
      <c r="E173"/>
      <c r="F173" s="171"/>
      <c r="G173"/>
    </row>
    <row r="174" spans="4:7" x14ac:dyDescent="0.2">
      <c r="D174"/>
      <c r="E174"/>
      <c r="F174" s="171"/>
      <c r="G174"/>
    </row>
    <row r="175" spans="4:7" x14ac:dyDescent="0.2">
      <c r="D175"/>
      <c r="E175"/>
      <c r="F175" s="171"/>
      <c r="G175"/>
    </row>
    <row r="176" spans="4:7" x14ac:dyDescent="0.2">
      <c r="D176"/>
      <c r="E176"/>
      <c r="F176" s="171"/>
      <c r="G176"/>
    </row>
    <row r="177" spans="4:7" x14ac:dyDescent="0.2">
      <c r="D177"/>
      <c r="E177"/>
      <c r="F177" s="171"/>
      <c r="G177"/>
    </row>
    <row r="178" spans="4:7" x14ac:dyDescent="0.2">
      <c r="D178"/>
      <c r="E178"/>
      <c r="F178" s="171"/>
      <c r="G178"/>
    </row>
    <row r="179" spans="4:7" x14ac:dyDescent="0.2">
      <c r="D179"/>
      <c r="E179"/>
      <c r="F179" s="171"/>
      <c r="G179"/>
    </row>
    <row r="180" spans="4:7" x14ac:dyDescent="0.2">
      <c r="D180"/>
      <c r="E180"/>
      <c r="F180" s="171"/>
      <c r="G180"/>
    </row>
    <row r="181" spans="4:7" x14ac:dyDescent="0.2">
      <c r="D181"/>
      <c r="E181"/>
      <c r="F181" s="171"/>
      <c r="G181"/>
    </row>
    <row r="182" spans="4:7" x14ac:dyDescent="0.2">
      <c r="D182"/>
      <c r="E182"/>
      <c r="F182" s="171"/>
      <c r="G182"/>
    </row>
    <row r="183" spans="4:7" x14ac:dyDescent="0.2">
      <c r="D183"/>
      <c r="E183"/>
      <c r="F183" s="171"/>
      <c r="G183"/>
    </row>
    <row r="184" spans="4:7" x14ac:dyDescent="0.2">
      <c r="D184"/>
      <c r="E184"/>
      <c r="F184" s="171"/>
      <c r="G184"/>
    </row>
    <row r="185" spans="4:7" x14ac:dyDescent="0.2">
      <c r="D185"/>
      <c r="E185"/>
      <c r="F185" s="171"/>
      <c r="G185"/>
    </row>
    <row r="186" spans="4:7" x14ac:dyDescent="0.2">
      <c r="D186"/>
      <c r="E186"/>
      <c r="F186" s="171"/>
      <c r="G186"/>
    </row>
    <row r="187" spans="4:7" x14ac:dyDescent="0.2">
      <c r="D187"/>
      <c r="E187"/>
      <c r="F187" s="171"/>
      <c r="G187"/>
    </row>
    <row r="188" spans="4:7" x14ac:dyDescent="0.2">
      <c r="D188"/>
      <c r="E188"/>
      <c r="F188" s="171"/>
      <c r="G188"/>
    </row>
    <row r="189" spans="4:7" x14ac:dyDescent="0.2">
      <c r="D189"/>
      <c r="E189"/>
      <c r="F189" s="171"/>
      <c r="G189"/>
    </row>
    <row r="190" spans="4:7" x14ac:dyDescent="0.2">
      <c r="D190"/>
      <c r="E190"/>
      <c r="F190" s="171"/>
      <c r="G190"/>
    </row>
    <row r="191" spans="4:7" x14ac:dyDescent="0.2">
      <c r="D191"/>
      <c r="E191"/>
      <c r="F191" s="171"/>
      <c r="G191"/>
    </row>
    <row r="192" spans="4:7" x14ac:dyDescent="0.2">
      <c r="D192"/>
      <c r="E192"/>
      <c r="F192" s="171"/>
      <c r="G192"/>
    </row>
    <row r="193" spans="4:7" x14ac:dyDescent="0.2">
      <c r="D193"/>
      <c r="E193"/>
      <c r="F193" s="171"/>
      <c r="G193"/>
    </row>
    <row r="194" spans="4:7" x14ac:dyDescent="0.2">
      <c r="D194"/>
      <c r="E194"/>
      <c r="F194" s="171"/>
      <c r="G194"/>
    </row>
    <row r="195" spans="4:7" x14ac:dyDescent="0.2">
      <c r="D195"/>
      <c r="E195"/>
      <c r="F195" s="171"/>
      <c r="G195"/>
    </row>
    <row r="196" spans="4:7" x14ac:dyDescent="0.2">
      <c r="D196"/>
      <c r="E196"/>
      <c r="F196" s="171"/>
      <c r="G196"/>
    </row>
    <row r="197" spans="4:7" x14ac:dyDescent="0.2">
      <c r="D197"/>
      <c r="E197"/>
      <c r="F197" s="171"/>
      <c r="G197"/>
    </row>
    <row r="198" spans="4:7" x14ac:dyDescent="0.2">
      <c r="D198"/>
      <c r="E198"/>
      <c r="F198" s="171"/>
      <c r="G198"/>
    </row>
    <row r="199" spans="4:7" x14ac:dyDescent="0.2">
      <c r="D199"/>
      <c r="E199"/>
      <c r="F199" s="171"/>
      <c r="G199"/>
    </row>
    <row r="200" spans="4:7" x14ac:dyDescent="0.2">
      <c r="D200"/>
      <c r="E200"/>
      <c r="F200" s="171"/>
      <c r="G200"/>
    </row>
    <row r="201" spans="4:7" x14ac:dyDescent="0.2">
      <c r="D201"/>
      <c r="E201"/>
      <c r="F201" s="171"/>
      <c r="G201"/>
    </row>
    <row r="202" spans="4:7" x14ac:dyDescent="0.2">
      <c r="D202"/>
      <c r="E202"/>
      <c r="F202" s="171"/>
      <c r="G202"/>
    </row>
    <row r="203" spans="4:7" x14ac:dyDescent="0.2">
      <c r="D203"/>
      <c r="E203"/>
      <c r="F203" s="171"/>
      <c r="G203"/>
    </row>
    <row r="204" spans="4:7" x14ac:dyDescent="0.2">
      <c r="D204"/>
      <c r="E204"/>
      <c r="F204" s="171"/>
      <c r="G204"/>
    </row>
    <row r="205" spans="4:7" x14ac:dyDescent="0.2">
      <c r="D205"/>
      <c r="E205"/>
      <c r="F205" s="171"/>
      <c r="G205"/>
    </row>
    <row r="206" spans="4:7" x14ac:dyDescent="0.2">
      <c r="D206"/>
      <c r="E206"/>
      <c r="F206" s="171"/>
      <c r="G206"/>
    </row>
    <row r="207" spans="4:7" x14ac:dyDescent="0.2">
      <c r="D207"/>
      <c r="E207"/>
      <c r="F207" s="171"/>
      <c r="G207"/>
    </row>
    <row r="208" spans="4:7" x14ac:dyDescent="0.2">
      <c r="D208"/>
      <c r="E208"/>
      <c r="F208" s="171"/>
      <c r="G208"/>
    </row>
    <row r="209" spans="4:7" x14ac:dyDescent="0.2">
      <c r="D209"/>
      <c r="E209"/>
      <c r="F209" s="171"/>
      <c r="G209"/>
    </row>
    <row r="210" spans="4:7" x14ac:dyDescent="0.2">
      <c r="D210"/>
      <c r="E210"/>
      <c r="F210" s="171"/>
      <c r="G210"/>
    </row>
    <row r="211" spans="4:7" x14ac:dyDescent="0.2">
      <c r="D211"/>
      <c r="E211"/>
      <c r="F211" s="171"/>
      <c r="G211"/>
    </row>
    <row r="212" spans="4:7" x14ac:dyDescent="0.2">
      <c r="D212"/>
      <c r="E212"/>
      <c r="F212" s="171"/>
      <c r="G212"/>
    </row>
    <row r="213" spans="4:7" x14ac:dyDescent="0.2">
      <c r="D213"/>
      <c r="E213"/>
      <c r="F213" s="171"/>
      <c r="G213"/>
    </row>
    <row r="214" spans="4:7" x14ac:dyDescent="0.2">
      <c r="D214"/>
      <c r="E214"/>
      <c r="F214" s="171"/>
      <c r="G214"/>
    </row>
    <row r="215" spans="4:7" x14ac:dyDescent="0.2">
      <c r="D215"/>
      <c r="E215"/>
      <c r="F215" s="171"/>
      <c r="G215"/>
    </row>
    <row r="216" spans="4:7" x14ac:dyDescent="0.2">
      <c r="D216"/>
      <c r="E216"/>
      <c r="F216" s="171"/>
      <c r="G216"/>
    </row>
    <row r="217" spans="4:7" x14ac:dyDescent="0.2">
      <c r="D217"/>
      <c r="E217"/>
      <c r="F217" s="171"/>
      <c r="G217"/>
    </row>
    <row r="218" spans="4:7" x14ac:dyDescent="0.2">
      <c r="D218"/>
      <c r="E218"/>
      <c r="F218" s="171"/>
      <c r="G218"/>
    </row>
    <row r="219" spans="4:7" x14ac:dyDescent="0.2">
      <c r="D219"/>
      <c r="E219"/>
      <c r="F219" s="171"/>
      <c r="G219"/>
    </row>
    <row r="220" spans="4:7" x14ac:dyDescent="0.2">
      <c r="D220"/>
      <c r="E220"/>
      <c r="F220" s="171"/>
      <c r="G220"/>
    </row>
    <row r="221" spans="4:7" x14ac:dyDescent="0.2">
      <c r="D221"/>
      <c r="E221"/>
      <c r="F221" s="171"/>
      <c r="G221"/>
    </row>
    <row r="222" spans="4:7" x14ac:dyDescent="0.2">
      <c r="D222"/>
      <c r="E222"/>
      <c r="F222" s="171"/>
      <c r="G222"/>
    </row>
    <row r="223" spans="4:7" x14ac:dyDescent="0.2">
      <c r="D223"/>
      <c r="E223"/>
      <c r="F223" s="171"/>
      <c r="G223"/>
    </row>
    <row r="224" spans="4:7" x14ac:dyDescent="0.2">
      <c r="D224"/>
      <c r="E224"/>
      <c r="F224" s="171"/>
      <c r="G224"/>
    </row>
    <row r="225" spans="4:7" x14ac:dyDescent="0.2">
      <c r="D225"/>
      <c r="E225"/>
      <c r="F225" s="171"/>
      <c r="G225"/>
    </row>
    <row r="226" spans="4:7" x14ac:dyDescent="0.2">
      <c r="D226"/>
      <c r="E226"/>
      <c r="F226" s="171"/>
      <c r="G226"/>
    </row>
    <row r="227" spans="4:7" x14ac:dyDescent="0.2">
      <c r="D227"/>
      <c r="E227"/>
      <c r="F227" s="171"/>
      <c r="G227"/>
    </row>
    <row r="228" spans="4:7" x14ac:dyDescent="0.2">
      <c r="D228"/>
      <c r="E228"/>
      <c r="F228" s="171"/>
      <c r="G228"/>
    </row>
    <row r="229" spans="4:7" x14ac:dyDescent="0.2">
      <c r="D229"/>
      <c r="E229"/>
      <c r="F229" s="171"/>
      <c r="G229"/>
    </row>
    <row r="230" spans="4:7" x14ac:dyDescent="0.2">
      <c r="D230"/>
      <c r="E230"/>
      <c r="F230" s="171"/>
      <c r="G230"/>
    </row>
    <row r="231" spans="4:7" x14ac:dyDescent="0.2">
      <c r="D231"/>
      <c r="E231"/>
      <c r="F231" s="171"/>
      <c r="G231"/>
    </row>
    <row r="232" spans="4:7" x14ac:dyDescent="0.2">
      <c r="D232"/>
      <c r="E232"/>
      <c r="F232" s="171"/>
      <c r="G232"/>
    </row>
    <row r="233" spans="4:7" x14ac:dyDescent="0.2">
      <c r="D233"/>
      <c r="E233"/>
      <c r="F233" s="171"/>
      <c r="G233"/>
    </row>
    <row r="234" spans="4:7" x14ac:dyDescent="0.2">
      <c r="D234"/>
      <c r="E234"/>
      <c r="F234" s="171"/>
      <c r="G234"/>
    </row>
    <row r="235" spans="4:7" x14ac:dyDescent="0.2">
      <c r="D235"/>
      <c r="E235"/>
      <c r="F235" s="171"/>
      <c r="G235"/>
    </row>
    <row r="236" spans="4:7" x14ac:dyDescent="0.2">
      <c r="D236"/>
      <c r="E236"/>
      <c r="F236" s="171"/>
      <c r="G236"/>
    </row>
    <row r="237" spans="4:7" x14ac:dyDescent="0.2">
      <c r="D237"/>
      <c r="E237"/>
      <c r="F237" s="171"/>
      <c r="G237"/>
    </row>
    <row r="238" spans="4:7" x14ac:dyDescent="0.2">
      <c r="D238"/>
      <c r="E238"/>
      <c r="F238" s="171"/>
      <c r="G238"/>
    </row>
    <row r="239" spans="4:7" x14ac:dyDescent="0.2">
      <c r="D239"/>
      <c r="E239"/>
      <c r="F239" s="171"/>
      <c r="G239"/>
    </row>
    <row r="240" spans="4:7" x14ac:dyDescent="0.2">
      <c r="D240"/>
      <c r="E240"/>
      <c r="F240" s="171"/>
      <c r="G240"/>
    </row>
    <row r="241" spans="4:7" x14ac:dyDescent="0.2">
      <c r="D241"/>
      <c r="E241"/>
      <c r="F241" s="171"/>
      <c r="G241"/>
    </row>
    <row r="242" spans="4:7" x14ac:dyDescent="0.2">
      <c r="D242"/>
      <c r="E242"/>
      <c r="F242" s="171"/>
      <c r="G242"/>
    </row>
    <row r="243" spans="4:7" x14ac:dyDescent="0.2">
      <c r="D243"/>
      <c r="E243"/>
      <c r="F243" s="171"/>
      <c r="G243"/>
    </row>
    <row r="244" spans="4:7" x14ac:dyDescent="0.2">
      <c r="D244"/>
      <c r="E244"/>
      <c r="F244" s="171"/>
      <c r="G244"/>
    </row>
    <row r="245" spans="4:7" x14ac:dyDescent="0.2">
      <c r="D245"/>
      <c r="E245"/>
      <c r="F245" s="171"/>
      <c r="G245"/>
    </row>
    <row r="246" spans="4:7" x14ac:dyDescent="0.2">
      <c r="D246"/>
      <c r="E246"/>
      <c r="F246" s="171"/>
      <c r="G246"/>
    </row>
    <row r="247" spans="4:7" x14ac:dyDescent="0.2">
      <c r="D247"/>
      <c r="E247"/>
      <c r="F247" s="171"/>
      <c r="G247"/>
    </row>
    <row r="248" spans="4:7" x14ac:dyDescent="0.2">
      <c r="D248"/>
      <c r="E248"/>
      <c r="F248" s="171"/>
      <c r="G248"/>
    </row>
    <row r="249" spans="4:7" x14ac:dyDescent="0.2">
      <c r="D249"/>
      <c r="E249"/>
      <c r="F249" s="171"/>
      <c r="G249"/>
    </row>
    <row r="250" spans="4:7" x14ac:dyDescent="0.2">
      <c r="D250"/>
      <c r="E250"/>
      <c r="F250" s="171"/>
      <c r="G250"/>
    </row>
    <row r="251" spans="4:7" x14ac:dyDescent="0.2">
      <c r="D251"/>
      <c r="E251"/>
      <c r="F251" s="171"/>
      <c r="G251"/>
    </row>
    <row r="252" spans="4:7" x14ac:dyDescent="0.2">
      <c r="D252"/>
      <c r="E252"/>
      <c r="F252" s="171"/>
      <c r="G252"/>
    </row>
  </sheetData>
  <sheetProtection formatCells="0" formatColumns="0" formatRows="0" insertRows="0" insertHyperlinks="0" deleteRows="0" sort="0" autoFilter="0" pivotTables="0"/>
  <autoFilter ref="A3:BC61">
    <filterColumn colId="3">
      <filters>
        <filter val="L1"/>
        <filter val="L2"/>
        <filter val="L3"/>
        <filter val="Train"/>
      </filters>
    </filterColumn>
  </autoFilter>
  <customSheetViews>
    <customSheetView guid="{F6731307-C738-4B81-929D-C14136A8C5CD}" filter="1" showAutoFilter="1" hiddenRows="1" showRuler="0">
      <selection activeCell="AQ42" sqref="AQ42:AS42"/>
      <pageMargins left="0.75" right="0.75" top="1" bottom="1" header="0.5" footer="0.5"/>
      <pageSetup orientation="portrait" r:id="rId1"/>
      <autoFilter ref="A3:BC60">
        <filterColumn colId="3">
          <filters>
            <filter val="L3"/>
          </filters>
        </filterColumn>
      </autoFilter>
    </customSheetView>
    <customSheetView guid="{0F3AF1BA-63A8-4070-AD04-7CF3FB7A7890}" showAutoFilter="1" showRuler="0" topLeftCell="A19">
      <pane xSplit="2" topLeftCell="H1" activePane="topRight" state="frozen"/>
      <selection pane="topRight" activeCell="Q31" sqref="Q31"/>
      <pageMargins left="0.75" right="0.75" top="1" bottom="1" header="0.5" footer="0.5"/>
      <pageSetup orientation="portrait" r:id="rId2"/>
      <autoFilter ref="A3:BC62"/>
    </customSheetView>
    <customSheetView guid="{208A5925-1FA9-41B4-AB84-DB668CD24F85}" showPageBreaks="1" showAutoFilter="1" hiddenColumns="1" showRuler="0">
      <pane xSplit="1" topLeftCell="C1" activePane="topRight" state="frozen"/>
      <selection pane="topRight" activeCell="T50" sqref="T50"/>
      <pageMargins left="0.75" right="0.75" top="1" bottom="1" header="0.5" footer="0.5"/>
      <pageSetup orientation="portrait" r:id="rId3"/>
      <autoFilter ref="A3:BC57"/>
    </customSheetView>
    <customSheetView guid="{633586D4-0157-4906-81B3-3B97799576BB}" showAutoFilter="1" hiddenRows="1" showRuler="0">
      <pane xSplit="3" ySplit="3" topLeftCell="AC37" activePane="bottomRight" state="frozen"/>
      <selection pane="bottomRight" activeCell="AH47" sqref="AH47"/>
      <pageMargins left="0.75" right="0.75" top="1" bottom="1" header="0.5" footer="0.5"/>
      <pageSetup orientation="portrait" r:id="rId4"/>
      <autoFilter ref="A3:BC58"/>
    </customSheetView>
    <customSheetView guid="{B03D3321-8578-44D0-9847-93996289F773}" scale="85" showAutoFilter="1" hiddenColumns="1" showRuler="0">
      <pane xSplit="13" ySplit="3" topLeftCell="N4" activePane="bottomRight" state="frozen"/>
      <selection pane="bottomRight" activeCell="AH6" sqref="AH6:AV6"/>
      <pageMargins left="0.75" right="0.75" top="1" bottom="1" header="0.5" footer="0.5"/>
      <pageSetup paperSize="0" orientation="portrait" horizontalDpi="0" verticalDpi="0" copies="0"/>
      <autoFilter ref="A3:BC45"/>
    </customSheetView>
    <customSheetView guid="{CD25A284-0610-4E49-A3AF-D88A397CDAA5}" showAutoFilter="1" showRuler="0">
      <pane xSplit="3" ySplit="2" topLeftCell="D3" activePane="bottomRight" state="frozen"/>
      <selection pane="bottomRight" activeCell="K23" sqref="K23"/>
      <pageMargins left="0.75" right="0.75" top="1" bottom="1" header="0.5" footer="0.5"/>
      <pageSetup orientation="portrait" r:id="rId5"/>
      <autoFilter ref="B1:BN1"/>
    </customSheetView>
    <customSheetView guid="{7D95E48E-DE78-444D-99D9-AE9172BE7C77}" showAutoFilter="1" showRuler="0">
      <pane xSplit="4" ySplit="3" topLeftCell="AB4" activePane="bottomRight" state="frozen"/>
      <selection pane="bottomRight" activeCell="AI4" sqref="AI4:AJ4"/>
      <pageMargins left="0.75" right="0.75" top="1" bottom="1" header="0.5" footer="0.5"/>
      <pageSetup scale="70" orientation="landscape" r:id="rId6"/>
      <headerFooter alignWithMargins="0"/>
      <autoFilter ref="B1:BB1"/>
    </customSheetView>
    <customSheetView guid="{A9216DD6-23B1-4C89-BC14-2360378DB7F3}" showPageBreaks="1" fitToPage="1" showAutoFilter="1" showRuler="0">
      <pane xSplit="4" ySplit="11" topLeftCell="R12" activePane="bottomRight" state="frozen"/>
      <selection pane="bottomRight" activeCell="AG11" sqref="AG11"/>
      <pageMargins left="0.75" right="0.75" top="1" bottom="1" header="0.5" footer="0.5"/>
      <pageSetup scale="44" fitToWidth="2" orientation="landscape" r:id="rId7"/>
      <headerFooter alignWithMargins="0"/>
      <autoFilter ref="B1:BB1"/>
    </customSheetView>
    <customSheetView guid="{CD624594-EE63-45B6-8011-5E137A94ED35}" showAutoFilter="1" showRuler="0">
      <pane xSplit="4" ySplit="3" topLeftCell="E4" activePane="bottomRight" state="frozen"/>
      <selection pane="bottomRight" activeCell="N21" sqref="N21"/>
      <pageMargins left="0.75" right="0.75" top="1" bottom="1" header="0.5" footer="0.5"/>
      <pageSetup scale="70" orientation="landscape" r:id="rId8"/>
      <headerFooter alignWithMargins="0"/>
      <autoFilter ref="B1:BD1"/>
    </customSheetView>
    <customSheetView guid="{5BA1A946-6FBC-4642-B499-71CE854965FF}" showAutoFilter="1" showRuler="0">
      <pane xSplit="6" ySplit="5" topLeftCell="AK6" activePane="bottomRight" state="frozen"/>
      <selection pane="bottomRight" activeCell="AX8" sqref="AX8"/>
      <pageMargins left="0.75" right="0.75" top="1" bottom="1" header="0.5" footer="0.5"/>
      <pageSetup scale="70" orientation="landscape" r:id="rId9"/>
      <headerFooter alignWithMargins="0"/>
      <autoFilter ref="B1:BI1"/>
    </customSheetView>
    <customSheetView guid="{307CC01B-ED49-401B-8364-093EDA4EF533}" showAutoFilter="1" showRuler="0">
      <pane xSplit="3" ySplit="2" topLeftCell="D3" activePane="bottomRight" state="frozen"/>
      <selection pane="bottomRight" activeCell="A8" sqref="A8:XFD8"/>
      <pageMargins left="0.75" right="0.75" top="1" bottom="1" header="0.5" footer="0.5"/>
      <pageSetup orientation="portrait" r:id="rId10"/>
      <autoFilter ref="A3:AL42">
        <sortState ref="A4:AL49">
          <sortCondition ref="A3:A49"/>
        </sortState>
      </autoFilter>
    </customSheetView>
    <customSheetView guid="{BD40F652-0BD1-49AB-8864-915916104548}" showAutoFilter="1" showRuler="0">
      <pane xSplit="2" topLeftCell="V1" activePane="topRight" state="frozen"/>
      <selection pane="topRight" activeCell="A4" sqref="A4:BC50"/>
      <pageMargins left="0.75" right="0.75" top="1" bottom="1" header="0.5" footer="0.5"/>
      <pageSetup orientation="portrait" r:id="rId11"/>
      <autoFilter ref="A3:BC50">
        <sortState ref="A4:BC50">
          <sortCondition ref="A3"/>
        </sortState>
      </autoFilter>
    </customSheetView>
    <customSheetView guid="{655C266F-B06D-4F08-B6E7-FAA4004CC24D}" showAutoFilter="1" showRuler="0">
      <pane xSplit="2" topLeftCell="AD1" activePane="topRight" state="frozen"/>
      <selection pane="topRight" activeCell="AQ15" sqref="AQ15"/>
      <pageMargins left="0.75" right="0.75" top="1" bottom="1" header="0.5" footer="0.5"/>
      <pageSetup orientation="portrait" r:id="rId12"/>
      <autoFilter ref="A3:BC57"/>
    </customSheetView>
    <customSheetView guid="{510EAB28-63CB-43E2-9432-C75C3110CE1E}" showAutoFilter="1" showRuler="0">
      <pane xSplit="13" ySplit="3" topLeftCell="N4" activePane="bottomRight" state="frozen"/>
      <selection pane="bottomRight" activeCell="O25" sqref="O25"/>
      <pageMargins left="0.75" right="0.75" top="1" bottom="1" header="0.5" footer="0.5"/>
      <pageSetup orientation="portrait" r:id="rId13"/>
      <autoFilter ref="A3:BC61"/>
    </customSheetView>
  </customSheetViews>
  <mergeCells count="34">
    <mergeCell ref="E65:G65"/>
    <mergeCell ref="AH65:AJ65"/>
    <mergeCell ref="L65:N65"/>
    <mergeCell ref="O65:Q65"/>
    <mergeCell ref="R65:T65"/>
    <mergeCell ref="U65:W65"/>
    <mergeCell ref="X65:Z65"/>
    <mergeCell ref="BD1:BE1"/>
    <mergeCell ref="BD2:BE2"/>
    <mergeCell ref="AA65:AC65"/>
    <mergeCell ref="AE65:AG65"/>
    <mergeCell ref="I65:K65"/>
    <mergeCell ref="BA65:BC65"/>
    <mergeCell ref="AK65:AM65"/>
    <mergeCell ref="AN65:AP65"/>
    <mergeCell ref="AQ65:AS65"/>
    <mergeCell ref="AT65:AV65"/>
    <mergeCell ref="AW65:AY65"/>
    <mergeCell ref="L63:N63"/>
    <mergeCell ref="I63:K63"/>
    <mergeCell ref="AQ63:AS63"/>
    <mergeCell ref="AT63:AV63"/>
    <mergeCell ref="AW63:AY63"/>
    <mergeCell ref="BA63:BC63"/>
    <mergeCell ref="R63:T63"/>
    <mergeCell ref="E63:G63"/>
    <mergeCell ref="AN63:AP63"/>
    <mergeCell ref="AK63:AM63"/>
    <mergeCell ref="AH63:AJ63"/>
    <mergeCell ref="AE63:AG63"/>
    <mergeCell ref="AA63:AC63"/>
    <mergeCell ref="X63:Z63"/>
    <mergeCell ref="U63:W63"/>
    <mergeCell ref="O63:Q63"/>
  </mergeCells>
  <phoneticPr fontId="4" type="noConversion"/>
  <conditionalFormatting sqref="K70 N74 Q74 T74 W74 Z74 AC70 AG70 AY70 BC70">
    <cfRule type="cellIs" dxfId="53" priority="44" stopIfTrue="1" operator="between">
      <formula>0</formula>
      <formula>1</formula>
    </cfRule>
  </conditionalFormatting>
  <conditionalFormatting sqref="BC70 AY70 AG70 AC70 Z74 W74 T74 Q74 N74 K70">
    <cfRule type="cellIs" dxfId="52" priority="43" stopIfTrue="1" operator="between">
      <formula>3</formula>
      <formula>5</formula>
    </cfRule>
  </conditionalFormatting>
  <conditionalFormatting sqref="G70">
    <cfRule type="cellIs" dxfId="51" priority="42" stopIfTrue="1" operator="between">
      <formula>0</formula>
      <formula>1</formula>
    </cfRule>
  </conditionalFormatting>
  <conditionalFormatting sqref="G70">
    <cfRule type="cellIs" dxfId="50" priority="41" stopIfTrue="1" operator="between">
      <formula>3</formula>
      <formula>5</formula>
    </cfRule>
  </conditionalFormatting>
  <conditionalFormatting sqref="G67 K67 G69 K69 AC67 AG67 AC69 AG69 AY67 BC67 AY69 BC69">
    <cfRule type="cellIs" dxfId="49" priority="40" stopIfTrue="1" operator="between">
      <formula>0</formula>
      <formula>1</formula>
    </cfRule>
  </conditionalFormatting>
  <conditionalFormatting sqref="G68 K68 AC68 AG68 AY68 BC68">
    <cfRule type="cellIs" dxfId="48" priority="39" stopIfTrue="1" operator="equal">
      <formula>0</formula>
    </cfRule>
  </conditionalFormatting>
  <conditionalFormatting sqref="N67 N70 Q70 Q67 T67 T70 W70 W67 Z67 Z70">
    <cfRule type="cellIs" dxfId="47" priority="38" stopIfTrue="1" operator="between">
      <formula>0</formula>
      <formula>5</formula>
    </cfRule>
  </conditionalFormatting>
  <conditionalFormatting sqref="G2 K2 AC2 AG2 AY2 BC2">
    <cfRule type="expression" dxfId="46" priority="35" stopIfTrue="1">
      <formula>H75&gt;0</formula>
    </cfRule>
  </conditionalFormatting>
  <conditionalFormatting sqref="W71 Z71 T71 Q71 N71">
    <cfRule type="cellIs" dxfId="45" priority="29" operator="lessThan">
      <formula>1</formula>
    </cfRule>
  </conditionalFormatting>
  <conditionalFormatting sqref="AJ74 AM74 AP74 AS74 AV74">
    <cfRule type="cellIs" dxfId="44" priority="26" stopIfTrue="1" operator="between">
      <formula>0</formula>
      <formula>1</formula>
    </cfRule>
  </conditionalFormatting>
  <conditionalFormatting sqref="AV74 AS74 AP74 AM74 AJ74">
    <cfRule type="cellIs" dxfId="43" priority="25" stopIfTrue="1" operator="between">
      <formula>3</formula>
      <formula>5</formula>
    </cfRule>
  </conditionalFormatting>
  <conditionalFormatting sqref="AJ67 AJ70 AM70 AM67 AP67 AP70 AS70 AS67 AV67 AV70">
    <cfRule type="cellIs" dxfId="42" priority="24" stopIfTrue="1" operator="between">
      <formula>0</formula>
      <formula>5</formula>
    </cfRule>
  </conditionalFormatting>
  <conditionalFormatting sqref="AS71 AV71 AP71 AM71 AJ71">
    <cfRule type="cellIs" dxfId="41" priority="23" operator="lessThan">
      <formula>1</formula>
    </cfRule>
  </conditionalFormatting>
  <conditionalFormatting sqref="E2:F2 I2:J2 AA2:AB2 AE2:AF2 AW2:AX2 BA2:BB2">
    <cfRule type="expression" dxfId="40" priority="45" stopIfTrue="1">
      <formula>G75&gt;0</formula>
    </cfRule>
  </conditionalFormatting>
  <conditionalFormatting sqref="N75">
    <cfRule type="cellIs" dxfId="39" priority="22" operator="lessThan">
      <formula>6</formula>
    </cfRule>
  </conditionalFormatting>
  <conditionalFormatting sqref="Q75">
    <cfRule type="cellIs" dxfId="38" priority="21" operator="lessThan">
      <formula>6</formula>
    </cfRule>
  </conditionalFormatting>
  <conditionalFormatting sqref="T75">
    <cfRule type="cellIs" dxfId="37" priority="20" operator="lessThan">
      <formula>6</formula>
    </cfRule>
  </conditionalFormatting>
  <conditionalFormatting sqref="W75">
    <cfRule type="cellIs" dxfId="36" priority="19" operator="lessThan">
      <formula>6</formula>
    </cfRule>
  </conditionalFormatting>
  <conditionalFormatting sqref="Z75">
    <cfRule type="cellIs" dxfId="35" priority="18" operator="lessThan">
      <formula>6</formula>
    </cfRule>
  </conditionalFormatting>
  <conditionalFormatting sqref="AJ75">
    <cfRule type="cellIs" dxfId="34" priority="17" operator="lessThan">
      <formula>6</formula>
    </cfRule>
  </conditionalFormatting>
  <conditionalFormatting sqref="AM75">
    <cfRule type="cellIs" dxfId="33" priority="16" operator="lessThan">
      <formula>6</formula>
    </cfRule>
  </conditionalFormatting>
  <conditionalFormatting sqref="AP75">
    <cfRule type="cellIs" dxfId="32" priority="15" operator="lessThan">
      <formula>6</formula>
    </cfRule>
  </conditionalFormatting>
  <conditionalFormatting sqref="AS75">
    <cfRule type="cellIs" dxfId="31" priority="14" operator="lessThan">
      <formula>6</formula>
    </cfRule>
  </conditionalFormatting>
  <conditionalFormatting sqref="AV75">
    <cfRule type="cellIs" dxfId="30" priority="13" operator="lessThan">
      <formula>6</formula>
    </cfRule>
  </conditionalFormatting>
  <conditionalFormatting sqref="AC71">
    <cfRule type="cellIs" dxfId="29" priority="12" operator="lessThan">
      <formula>6</formula>
    </cfRule>
  </conditionalFormatting>
  <conditionalFormatting sqref="AG71">
    <cfRule type="cellIs" dxfId="28" priority="10" operator="lessThan">
      <formula>6</formula>
    </cfRule>
  </conditionalFormatting>
  <conditionalFormatting sqref="AY71">
    <cfRule type="cellIs" dxfId="27" priority="9" operator="lessThan">
      <formula>6</formula>
    </cfRule>
  </conditionalFormatting>
  <conditionalFormatting sqref="BC71">
    <cfRule type="cellIs" dxfId="26" priority="8" operator="lessThan">
      <formula>6</formula>
    </cfRule>
  </conditionalFormatting>
  <conditionalFormatting sqref="G71">
    <cfRule type="cellIs" dxfId="25" priority="6" operator="equal">
      <formula>"Missing"</formula>
    </cfRule>
  </conditionalFormatting>
  <conditionalFormatting sqref="K71">
    <cfRule type="cellIs" dxfId="24" priority="5" operator="equal">
      <formula>"Missing"</formula>
    </cfRule>
  </conditionalFormatting>
  <conditionalFormatting sqref="AC72">
    <cfRule type="cellIs" dxfId="23" priority="4" operator="equal">
      <formula>"Missing"</formula>
    </cfRule>
  </conditionalFormatting>
  <conditionalFormatting sqref="AG72">
    <cfRule type="cellIs" dxfId="22" priority="3" operator="equal">
      <formula>"Missing"</formula>
    </cfRule>
  </conditionalFormatting>
  <conditionalFormatting sqref="AY72">
    <cfRule type="cellIs" dxfId="21" priority="2" operator="equal">
      <formula>"Missing"</formula>
    </cfRule>
  </conditionalFormatting>
  <conditionalFormatting sqref="BC72">
    <cfRule type="cellIs" dxfId="20" priority="1" operator="equal">
      <formula>"Missing"</formula>
    </cfRule>
  </conditionalFormatting>
  <hyperlinks>
    <hyperlink ref="B4" r:id="rId14" display="balocke@xactware.com"/>
    <hyperlink ref="B14" r:id="rId15"/>
    <hyperlink ref="B19" r:id="rId16"/>
    <hyperlink ref="B20" r:id="rId17"/>
    <hyperlink ref="B22" r:id="rId18"/>
    <hyperlink ref="B23" r:id="rId19"/>
    <hyperlink ref="B24" r:id="rId20"/>
    <hyperlink ref="B25" r:id="rId21"/>
    <hyperlink ref="B27" r:id="rId22"/>
    <hyperlink ref="B29" r:id="rId23"/>
    <hyperlink ref="B33" r:id="rId24"/>
    <hyperlink ref="B34" r:id="rId25"/>
    <hyperlink ref="B42" r:id="rId26"/>
    <hyperlink ref="B43" r:id="rId27"/>
    <hyperlink ref="B44" r:id="rId28"/>
    <hyperlink ref="B45" r:id="rId29"/>
    <hyperlink ref="B46" r:id="rId30"/>
    <hyperlink ref="B48" r:id="rId31"/>
    <hyperlink ref="B49" r:id="rId32"/>
    <hyperlink ref="B50" r:id="rId33"/>
    <hyperlink ref="B52" r:id="rId34"/>
    <hyperlink ref="B54" r:id="rId35"/>
    <hyperlink ref="B61" r:id="rId36" display="wrburnett@xactware.com"/>
    <hyperlink ref="B9" r:id="rId37"/>
  </hyperlinks>
  <pageMargins left="0.75" right="0.75" top="1" bottom="1" header="0.5" footer="0.5"/>
  <pageSetup orientation="portrait" r:id="rId38"/>
  <drawing r:id="rId39"/>
  <legacyDrawing r:id="rId40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04" r:id="rId41" name="Option Button 608">
              <controlPr defaultSize="0" autoFill="0" autoLine="0" autoPict="0" macro="[0]!SendEmailsOption_Click">
                <anchor moveWithCells="1">
                  <from>
                    <xdr:col>0</xdr:col>
                    <xdr:colOff>47625</xdr:colOff>
                    <xdr:row>78</xdr:row>
                    <xdr:rowOff>19050</xdr:rowOff>
                  </from>
                  <to>
                    <xdr:col>1</xdr:col>
                    <xdr:colOff>0</xdr:colOff>
                    <xdr:row>79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05" r:id="rId42" name="Option Button 609">
              <controlPr defaultSize="0" autoFill="0" autoLine="0" autoPict="0" macro="[0]!CreateButDontSendOption_Click">
                <anchor moveWithCells="1">
                  <from>
                    <xdr:col>0</xdr:col>
                    <xdr:colOff>47625</xdr:colOff>
                    <xdr:row>79</xdr:row>
                    <xdr:rowOff>85725</xdr:rowOff>
                  </from>
                  <to>
                    <xdr:col>0</xdr:col>
                    <xdr:colOff>1466850</xdr:colOff>
                    <xdr:row>80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06" r:id="rId43" name="Button 610">
              <controlPr defaultSize="0" print="0" autoFill="0" autoPict="0" macro="[0]!Send_Schedule">
                <anchor moveWithCells="1">
                  <from>
                    <xdr:col>0</xdr:col>
                    <xdr:colOff>85725</xdr:colOff>
                    <xdr:row>82</xdr:row>
                    <xdr:rowOff>28575</xdr:rowOff>
                  </from>
                  <to>
                    <xdr:col>0</xdr:col>
                    <xdr:colOff>733425</xdr:colOff>
                    <xdr:row>83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filterMode="1"/>
  <dimension ref="A1:DK1019"/>
  <sheetViews>
    <sheetView zoomScale="115" zoomScaleNormal="100" workbookViewId="0">
      <pane xSplit="1" topLeftCell="CV1" activePane="topRight" state="frozen"/>
      <selection pane="topRight" activeCell="DE44" sqref="DE44"/>
    </sheetView>
  </sheetViews>
  <sheetFormatPr defaultRowHeight="12.75" x14ac:dyDescent="0.2"/>
  <cols>
    <col min="1" max="1" width="17.5703125" style="238" bestFit="1" customWidth="1"/>
    <col min="2" max="2" width="7" style="110" customWidth="1"/>
    <col min="3" max="3" width="5.28515625" style="238" customWidth="1"/>
    <col min="4" max="4" width="14.42578125" style="38"/>
    <col min="5" max="5" width="13.140625" style="272" customWidth="1"/>
    <col min="6" max="6" width="14.42578125" style="273"/>
    <col min="7" max="20" width="9" style="238" hidden="1" customWidth="1"/>
    <col min="21" max="24" width="9" style="110" hidden="1" customWidth="1"/>
    <col min="25" max="27" width="9.140625" style="110" hidden="1" customWidth="1"/>
    <col min="28" max="36" width="9.140625" hidden="1" customWidth="1"/>
    <col min="37" max="37" width="10.7109375" hidden="1" customWidth="1"/>
    <col min="38" max="41" width="9.140625" hidden="1" customWidth="1"/>
    <col min="42" max="45" width="9.140625" style="297" hidden="1" customWidth="1"/>
    <col min="46" max="69" width="9.140625" hidden="1" customWidth="1"/>
    <col min="70" max="78" width="8.7109375" hidden="1" customWidth="1"/>
    <col min="79" max="79" width="10.140625" hidden="1" customWidth="1"/>
    <col min="80" max="91" width="9.140625" hidden="1" customWidth="1"/>
  </cols>
  <sheetData>
    <row r="1" spans="1:115" ht="38.25" x14ac:dyDescent="0.2">
      <c r="A1" s="259" t="s">
        <v>96</v>
      </c>
      <c r="B1" s="260" t="s">
        <v>33</v>
      </c>
      <c r="C1" s="260" t="s">
        <v>32</v>
      </c>
      <c r="D1" s="258" t="s">
        <v>134</v>
      </c>
      <c r="E1" s="261" t="s">
        <v>135</v>
      </c>
      <c r="F1" s="262" t="s">
        <v>136</v>
      </c>
      <c r="G1" s="263">
        <v>41860</v>
      </c>
      <c r="H1" s="263">
        <f t="shared" ref="H1:Y1" si="0">G1+7</f>
        <v>41867</v>
      </c>
      <c r="I1" s="263">
        <f t="shared" si="0"/>
        <v>41874</v>
      </c>
      <c r="J1" s="263">
        <f t="shared" si="0"/>
        <v>41881</v>
      </c>
      <c r="K1" s="263">
        <f t="shared" si="0"/>
        <v>41888</v>
      </c>
      <c r="L1" s="263">
        <f t="shared" si="0"/>
        <v>41895</v>
      </c>
      <c r="M1" s="263">
        <f t="shared" si="0"/>
        <v>41902</v>
      </c>
      <c r="N1" s="263">
        <f t="shared" si="0"/>
        <v>41909</v>
      </c>
      <c r="O1" s="263">
        <f t="shared" si="0"/>
        <v>41916</v>
      </c>
      <c r="P1" s="263">
        <f t="shared" si="0"/>
        <v>41923</v>
      </c>
      <c r="Q1" s="263">
        <f t="shared" si="0"/>
        <v>41930</v>
      </c>
      <c r="R1" s="263">
        <f t="shared" si="0"/>
        <v>41937</v>
      </c>
      <c r="S1" s="263">
        <f t="shared" si="0"/>
        <v>41944</v>
      </c>
      <c r="T1" s="263">
        <f t="shared" si="0"/>
        <v>41951</v>
      </c>
      <c r="U1" s="263">
        <f t="shared" si="0"/>
        <v>41958</v>
      </c>
      <c r="V1" s="263">
        <f t="shared" si="0"/>
        <v>41965</v>
      </c>
      <c r="W1" s="263">
        <f t="shared" si="0"/>
        <v>41972</v>
      </c>
      <c r="X1" s="263">
        <f t="shared" si="0"/>
        <v>41979</v>
      </c>
      <c r="Y1" s="263">
        <f t="shared" si="0"/>
        <v>41986</v>
      </c>
      <c r="Z1" s="263">
        <f t="shared" ref="Z1" si="1">Y1+7</f>
        <v>41993</v>
      </c>
      <c r="AA1" s="263">
        <f t="shared" ref="AA1" si="2">Z1+7</f>
        <v>42000</v>
      </c>
      <c r="AB1" s="263">
        <f t="shared" ref="AB1" si="3">AA1+7</f>
        <v>42007</v>
      </c>
      <c r="AC1" s="263">
        <f t="shared" ref="AC1" si="4">AB1+7</f>
        <v>42014</v>
      </c>
      <c r="AD1" s="263">
        <f t="shared" ref="AD1" si="5">AC1+7</f>
        <v>42021</v>
      </c>
      <c r="AE1" s="263">
        <f t="shared" ref="AE1" si="6">AD1+7</f>
        <v>42028</v>
      </c>
      <c r="AF1" s="263">
        <f t="shared" ref="AF1" si="7">AE1+7</f>
        <v>42035</v>
      </c>
      <c r="AG1" s="263">
        <f t="shared" ref="AG1" si="8">AF1+7</f>
        <v>42042</v>
      </c>
      <c r="AH1" s="263">
        <f t="shared" ref="AH1" si="9">AG1+7</f>
        <v>42049</v>
      </c>
      <c r="AI1" s="263">
        <f t="shared" ref="AI1" si="10">AH1+7</f>
        <v>42056</v>
      </c>
      <c r="AJ1" s="263">
        <f t="shared" ref="AJ1" si="11">AI1+7</f>
        <v>42063</v>
      </c>
      <c r="AK1" s="263">
        <f t="shared" ref="AK1" si="12">AJ1+7</f>
        <v>42070</v>
      </c>
      <c r="AL1" s="263">
        <f t="shared" ref="AL1" si="13">AK1+7</f>
        <v>42077</v>
      </c>
      <c r="AM1" s="263">
        <f t="shared" ref="AM1" si="14">AL1+7</f>
        <v>42084</v>
      </c>
      <c r="AN1" s="263">
        <f t="shared" ref="AN1" si="15">AM1+7</f>
        <v>42091</v>
      </c>
      <c r="AO1" s="263">
        <f t="shared" ref="AO1" si="16">AN1+7</f>
        <v>42098</v>
      </c>
      <c r="AP1" s="293">
        <f t="shared" ref="AP1" si="17">AO1+7</f>
        <v>42105</v>
      </c>
      <c r="AQ1" s="293">
        <f t="shared" ref="AQ1" si="18">AP1+7</f>
        <v>42112</v>
      </c>
      <c r="AR1" s="293">
        <f t="shared" ref="AR1" si="19">AQ1+7</f>
        <v>42119</v>
      </c>
      <c r="AS1" s="293">
        <f t="shared" ref="AS1" si="20">AR1+7</f>
        <v>42126</v>
      </c>
      <c r="AT1" s="293">
        <f t="shared" ref="AT1" si="21">AS1+7</f>
        <v>42133</v>
      </c>
      <c r="AU1" s="293">
        <f t="shared" ref="AU1" si="22">AT1+7</f>
        <v>42140</v>
      </c>
      <c r="AV1" s="293">
        <f t="shared" ref="AV1" si="23">AU1+7</f>
        <v>42147</v>
      </c>
      <c r="AW1" s="293">
        <f t="shared" ref="AW1" si="24">AV1+7</f>
        <v>42154</v>
      </c>
      <c r="AX1" s="293">
        <f t="shared" ref="AX1" si="25">AW1+7</f>
        <v>42161</v>
      </c>
      <c r="AY1" s="293">
        <f t="shared" ref="AY1" si="26">AX1+7</f>
        <v>42168</v>
      </c>
      <c r="AZ1" s="293">
        <f t="shared" ref="AZ1" si="27">AY1+7</f>
        <v>42175</v>
      </c>
      <c r="BA1" s="293">
        <f t="shared" ref="BA1" si="28">AZ1+7</f>
        <v>42182</v>
      </c>
      <c r="BB1" s="293">
        <f t="shared" ref="BB1" si="29">BA1+7</f>
        <v>42189</v>
      </c>
      <c r="BC1" s="293">
        <f t="shared" ref="BC1" si="30">BB1+7</f>
        <v>42196</v>
      </c>
      <c r="BD1" s="293">
        <f t="shared" ref="BD1" si="31">BC1+7</f>
        <v>42203</v>
      </c>
      <c r="BE1" s="293">
        <f t="shared" ref="BE1" si="32">BD1+7</f>
        <v>42210</v>
      </c>
      <c r="BF1" s="293">
        <f t="shared" ref="BF1" si="33">BE1+7</f>
        <v>42217</v>
      </c>
      <c r="BG1" s="293">
        <f t="shared" ref="BG1" si="34">BF1+7</f>
        <v>42224</v>
      </c>
      <c r="BH1" s="293">
        <f t="shared" ref="BH1" si="35">BG1+7</f>
        <v>42231</v>
      </c>
      <c r="BI1" s="293">
        <f t="shared" ref="BI1" si="36">BH1+7</f>
        <v>42238</v>
      </c>
      <c r="BJ1" s="293">
        <f t="shared" ref="BJ1" si="37">BI1+7</f>
        <v>42245</v>
      </c>
      <c r="BK1" s="293">
        <f t="shared" ref="BK1" si="38">BJ1+7</f>
        <v>42252</v>
      </c>
      <c r="BL1" s="293">
        <f t="shared" ref="BL1" si="39">BK1+7</f>
        <v>42259</v>
      </c>
      <c r="BM1" s="293">
        <f t="shared" ref="BM1" si="40">BL1+7</f>
        <v>42266</v>
      </c>
      <c r="BN1" s="293">
        <f t="shared" ref="BN1" si="41">BM1+7</f>
        <v>42273</v>
      </c>
      <c r="BO1" s="293">
        <f t="shared" ref="BO1" si="42">BN1+7</f>
        <v>42280</v>
      </c>
      <c r="BP1" s="293">
        <f t="shared" ref="BP1" si="43">BO1+7</f>
        <v>42287</v>
      </c>
      <c r="BQ1" s="293">
        <f t="shared" ref="BQ1" si="44">BP1+7</f>
        <v>42294</v>
      </c>
      <c r="BR1" s="293">
        <f t="shared" ref="BR1" si="45">BQ1+7</f>
        <v>42301</v>
      </c>
      <c r="BS1" s="293">
        <f t="shared" ref="BS1" si="46">BR1+7</f>
        <v>42308</v>
      </c>
      <c r="BT1" s="293">
        <f t="shared" ref="BT1" si="47">BS1+7</f>
        <v>42315</v>
      </c>
      <c r="BU1" s="293">
        <f t="shared" ref="BU1" si="48">BT1+7</f>
        <v>42322</v>
      </c>
      <c r="BV1" s="293">
        <f t="shared" ref="BV1" si="49">BU1+7</f>
        <v>42329</v>
      </c>
      <c r="BW1" s="293">
        <f t="shared" ref="BW1" si="50">BV1+7</f>
        <v>42336</v>
      </c>
      <c r="BX1" s="293">
        <f t="shared" ref="BX1" si="51">BW1+7</f>
        <v>42343</v>
      </c>
      <c r="BY1" s="293">
        <f t="shared" ref="BY1" si="52">BX1+7</f>
        <v>42350</v>
      </c>
      <c r="BZ1" s="293">
        <f t="shared" ref="BZ1:CC1" si="53">BY1+7</f>
        <v>42357</v>
      </c>
      <c r="CA1" s="293">
        <f t="shared" si="53"/>
        <v>42364</v>
      </c>
      <c r="CB1" s="293">
        <f t="shared" si="53"/>
        <v>42371</v>
      </c>
      <c r="CC1" s="293">
        <f t="shared" si="53"/>
        <v>42378</v>
      </c>
      <c r="CD1" s="293">
        <f t="shared" ref="CD1" si="54">CC1+7</f>
        <v>42385</v>
      </c>
      <c r="CE1" s="293">
        <f t="shared" ref="CE1" si="55">CD1+7</f>
        <v>42392</v>
      </c>
      <c r="CF1" s="293">
        <f t="shared" ref="CF1" si="56">CE1+7</f>
        <v>42399</v>
      </c>
      <c r="CG1" s="293">
        <f t="shared" ref="CG1" si="57">CF1+7</f>
        <v>42406</v>
      </c>
      <c r="CH1" s="293">
        <f t="shared" ref="CH1" si="58">CG1+7</f>
        <v>42413</v>
      </c>
      <c r="CI1" s="293">
        <f t="shared" ref="CI1" si="59">CH1+7</f>
        <v>42420</v>
      </c>
      <c r="CJ1" s="293">
        <f t="shared" ref="CJ1" si="60">CI1+7</f>
        <v>42427</v>
      </c>
      <c r="CK1" s="293">
        <f t="shared" ref="CK1" si="61">CJ1+7</f>
        <v>42434</v>
      </c>
      <c r="CL1" s="329">
        <f t="shared" ref="CL1:DK1" si="62">CK1+7</f>
        <v>42441</v>
      </c>
      <c r="CM1" s="329">
        <f t="shared" si="62"/>
        <v>42448</v>
      </c>
      <c r="CN1" s="329">
        <f t="shared" si="62"/>
        <v>42455</v>
      </c>
      <c r="CO1" s="329">
        <f t="shared" si="62"/>
        <v>42462</v>
      </c>
      <c r="CP1" s="329">
        <f t="shared" si="62"/>
        <v>42469</v>
      </c>
      <c r="CQ1" s="329">
        <f t="shared" si="62"/>
        <v>42476</v>
      </c>
      <c r="CR1" s="329">
        <f t="shared" si="62"/>
        <v>42483</v>
      </c>
      <c r="CS1" s="329">
        <f t="shared" si="62"/>
        <v>42490</v>
      </c>
      <c r="CT1" s="329">
        <f t="shared" si="62"/>
        <v>42497</v>
      </c>
      <c r="CU1" s="329">
        <f t="shared" si="62"/>
        <v>42504</v>
      </c>
      <c r="CV1" s="329">
        <f t="shared" si="62"/>
        <v>42511</v>
      </c>
      <c r="CW1" s="329">
        <f t="shared" si="62"/>
        <v>42518</v>
      </c>
      <c r="CX1" s="329">
        <f t="shared" si="62"/>
        <v>42525</v>
      </c>
      <c r="CY1" s="329">
        <f t="shared" si="62"/>
        <v>42532</v>
      </c>
      <c r="CZ1" s="329">
        <f t="shared" si="62"/>
        <v>42539</v>
      </c>
      <c r="DA1" s="329">
        <f t="shared" si="62"/>
        <v>42546</v>
      </c>
      <c r="DB1" s="329">
        <f t="shared" si="62"/>
        <v>42553</v>
      </c>
      <c r="DC1" s="329">
        <f t="shared" si="62"/>
        <v>42560</v>
      </c>
      <c r="DD1" s="329">
        <f t="shared" si="62"/>
        <v>42567</v>
      </c>
      <c r="DE1" s="329">
        <f t="shared" si="62"/>
        <v>42574</v>
      </c>
      <c r="DF1" s="329">
        <f t="shared" si="62"/>
        <v>42581</v>
      </c>
      <c r="DG1" s="329">
        <f t="shared" si="62"/>
        <v>42588</v>
      </c>
      <c r="DH1" s="329">
        <f t="shared" si="62"/>
        <v>42595</v>
      </c>
      <c r="DI1" s="329">
        <f t="shared" si="62"/>
        <v>42602</v>
      </c>
      <c r="DJ1" s="329">
        <f t="shared" si="62"/>
        <v>42609</v>
      </c>
      <c r="DK1" s="329">
        <f t="shared" si="62"/>
        <v>42616</v>
      </c>
    </row>
    <row r="2" spans="1:115" s="245" customFormat="1" hidden="1" x14ac:dyDescent="0.2">
      <c r="A2" s="242" t="s">
        <v>93</v>
      </c>
      <c r="B2" s="243" t="s">
        <v>118</v>
      </c>
      <c r="C2" s="243" t="s">
        <v>207</v>
      </c>
      <c r="D2" s="254" t="s">
        <v>142</v>
      </c>
      <c r="E2" s="264">
        <f t="array" ref="E2">IF(SUM(COUNTIF($G2:$ZZ2,{"y","Sa","Su"})),MAX(IF($G2:$ZZ2="y",$G$1:$ZZ$1,""), IF($G2:$ZZ2="Sa",$G$1:$ZZ$1,""),  IF($G2:$ZZ2="Su",$G$1:$ZZ$1,"")),"")</f>
        <v>42028</v>
      </c>
      <c r="F2" s="265">
        <f t="shared" ref="F2:F5" ca="1" si="63">IF(D2="Static shift", "Static shift", IF(E2&lt;&gt;"", INT((TODAY()-E2)/7),"No past shifts"))</f>
        <v>81</v>
      </c>
      <c r="G2" s="244"/>
      <c r="H2" s="244" t="s">
        <v>139</v>
      </c>
      <c r="I2" s="244"/>
      <c r="J2" s="244"/>
      <c r="K2" s="244"/>
      <c r="L2" s="244"/>
      <c r="M2" s="244" t="s">
        <v>139</v>
      </c>
      <c r="N2" s="244"/>
      <c r="O2" s="244"/>
      <c r="P2" s="244"/>
      <c r="Q2" s="283" t="s">
        <v>139</v>
      </c>
      <c r="R2" s="283"/>
      <c r="S2" s="283"/>
      <c r="T2" s="283"/>
      <c r="U2" s="283" t="s">
        <v>139</v>
      </c>
      <c r="V2" s="302"/>
      <c r="W2" s="283" t="s">
        <v>139</v>
      </c>
      <c r="X2" s="302"/>
      <c r="Y2" s="302"/>
      <c r="Z2" s="283" t="s">
        <v>139</v>
      </c>
      <c r="AA2" s="283"/>
      <c r="AB2" s="284"/>
      <c r="AC2" s="284"/>
      <c r="AD2" s="284"/>
      <c r="AE2" s="303" t="s">
        <v>139</v>
      </c>
      <c r="AF2" s="284"/>
      <c r="AG2" s="284"/>
      <c r="AH2" s="284"/>
      <c r="AI2" s="284"/>
      <c r="AJ2" s="303"/>
      <c r="AK2" s="284"/>
      <c r="AP2" s="310"/>
      <c r="BI2" s="310"/>
    </row>
    <row r="3" spans="1:115" s="249" customFormat="1" hidden="1" x14ac:dyDescent="0.2">
      <c r="A3" s="246" t="s">
        <v>84</v>
      </c>
      <c r="B3" s="247" t="s">
        <v>12</v>
      </c>
      <c r="C3" s="247" t="s">
        <v>207</v>
      </c>
      <c r="D3" s="255" t="s">
        <v>142</v>
      </c>
      <c r="E3" s="264">
        <f t="array" ref="E3">IF(SUM(COUNTIF($G3:$ZZ3,{"y","Sa","Su"})),MAX(IF($G3:$ZZ3="y",$G$1:$ZZ$1,""), IF($G3:$ZZ3="Sa",$G$1:$ZZ$1,""),  IF($G3:$ZZ3="Su",$G$1:$ZZ$1,"")),"")</f>
        <v>41874</v>
      </c>
      <c r="F3" s="265">
        <f t="shared" ca="1" si="63"/>
        <v>103</v>
      </c>
      <c r="G3" s="248"/>
      <c r="H3" s="248"/>
      <c r="I3" s="248" t="s">
        <v>139</v>
      </c>
      <c r="J3" s="248"/>
      <c r="K3" s="248"/>
      <c r="L3" s="248"/>
      <c r="M3" s="248"/>
      <c r="N3" s="248"/>
      <c r="O3" s="248"/>
      <c r="P3" s="248"/>
      <c r="Q3" s="285"/>
      <c r="R3" s="285"/>
      <c r="S3" s="285"/>
      <c r="T3" s="285"/>
      <c r="U3" s="286"/>
      <c r="V3" s="286"/>
      <c r="W3" s="286"/>
      <c r="X3" s="286"/>
      <c r="Y3" s="286"/>
      <c r="Z3" s="286"/>
      <c r="AA3" s="286"/>
      <c r="AB3" s="286"/>
      <c r="AC3" s="286"/>
      <c r="AD3" s="286"/>
      <c r="AE3" s="286"/>
      <c r="AF3" s="286"/>
      <c r="AG3" s="286"/>
      <c r="AH3" s="286"/>
      <c r="AI3" s="286"/>
      <c r="AJ3" s="286"/>
      <c r="AK3" s="286"/>
    </row>
    <row r="4" spans="1:115" s="249" customFormat="1" hidden="1" x14ac:dyDescent="0.2">
      <c r="A4" s="246" t="s">
        <v>91</v>
      </c>
      <c r="B4" s="247" t="s">
        <v>153</v>
      </c>
      <c r="C4" s="247" t="s">
        <v>30</v>
      </c>
      <c r="D4" s="255" t="s">
        <v>142</v>
      </c>
      <c r="E4" s="264">
        <f t="array" ref="E4">IF(SUM(COUNTIF($G4:$ZZ4,{"y","Sa","Su"})),MAX(IF($G4:$ZZ4="y",$G$1:$ZZ$1,""), IF($G4:$ZZ4="Sa",$G$1:$ZZ$1,""),  IF($G4:$ZZ4="Su",$G$1:$ZZ$1,"")),"")</f>
        <v>42098</v>
      </c>
      <c r="F4" s="265">
        <f t="shared" ca="1" si="63"/>
        <v>71</v>
      </c>
      <c r="G4" s="248" t="s">
        <v>139</v>
      </c>
      <c r="H4" s="248"/>
      <c r="I4" s="248"/>
      <c r="J4" s="248"/>
      <c r="K4" s="248"/>
      <c r="L4" s="248"/>
      <c r="M4" s="248" t="s">
        <v>139</v>
      </c>
      <c r="N4" s="248"/>
      <c r="O4" s="248"/>
      <c r="P4" s="248"/>
      <c r="Q4" s="285" t="s">
        <v>139</v>
      </c>
      <c r="R4" s="285"/>
      <c r="S4" s="285"/>
      <c r="T4" s="285"/>
      <c r="U4" s="285" t="s">
        <v>139</v>
      </c>
      <c r="V4" s="287"/>
      <c r="W4" s="287"/>
      <c r="X4" s="287"/>
      <c r="Y4" s="285" t="s">
        <v>139</v>
      </c>
      <c r="Z4" s="285"/>
      <c r="AA4" s="287"/>
      <c r="AB4" s="286"/>
      <c r="AC4" s="288" t="s">
        <v>139</v>
      </c>
      <c r="AD4" s="286"/>
      <c r="AE4" s="286"/>
      <c r="AF4" s="286"/>
      <c r="AG4" s="288" t="s">
        <v>139</v>
      </c>
      <c r="AH4" s="288"/>
      <c r="AI4" s="286"/>
      <c r="AJ4" s="286"/>
      <c r="AK4" s="288" t="s">
        <v>139</v>
      </c>
      <c r="AO4" s="290" t="s">
        <v>139</v>
      </c>
      <c r="AP4" s="294"/>
      <c r="AQ4" s="294"/>
      <c r="AR4" s="294"/>
      <c r="AS4" s="294"/>
      <c r="AT4" s="294"/>
      <c r="AU4" s="294"/>
      <c r="AV4" s="294"/>
      <c r="AW4" s="294"/>
      <c r="BO4" s="290" t="s">
        <v>225</v>
      </c>
    </row>
    <row r="5" spans="1:115" s="249" customFormat="1" hidden="1" x14ac:dyDescent="0.2">
      <c r="A5" s="246" t="s">
        <v>147</v>
      </c>
      <c r="B5" s="247" t="s">
        <v>12</v>
      </c>
      <c r="C5" s="247" t="s">
        <v>39</v>
      </c>
      <c r="D5" s="255" t="s">
        <v>141</v>
      </c>
      <c r="E5" s="264">
        <f t="array" ref="E5">IF(SUM(COUNTIF($G5:$ZZ5,{"y","Sa","Su"})),MAX(IF($G5:$ZZ5="y",$G$1:$ZZ$1,""), IF($G5:$ZZ5="Sa",$G$1:$ZZ$1,""),  IF($G5:$ZZ5="Su",$G$1:$ZZ$1,"")),"")</f>
        <v>41958</v>
      </c>
      <c r="F5" s="265">
        <f t="shared" ca="1" si="63"/>
        <v>91</v>
      </c>
      <c r="G5" s="248"/>
      <c r="H5" s="248"/>
      <c r="I5" s="248"/>
      <c r="J5" s="248"/>
      <c r="K5" s="248"/>
      <c r="L5" s="248"/>
      <c r="M5" s="248"/>
      <c r="N5" s="248"/>
      <c r="O5" s="248"/>
      <c r="P5" s="248"/>
      <c r="Q5" s="285"/>
      <c r="R5" s="285"/>
      <c r="S5" s="285"/>
      <c r="T5" s="285"/>
      <c r="U5" s="285" t="s">
        <v>139</v>
      </c>
      <c r="V5" s="286"/>
      <c r="W5" s="286"/>
      <c r="X5" s="286"/>
      <c r="Y5" s="287"/>
      <c r="Z5" s="287"/>
      <c r="AA5" s="287"/>
      <c r="AB5" s="286"/>
      <c r="AC5" s="286"/>
      <c r="AD5" s="286"/>
      <c r="AE5" s="286"/>
      <c r="AF5" s="286"/>
      <c r="AG5" s="286"/>
      <c r="AH5" s="286"/>
      <c r="AI5" s="286"/>
      <c r="AJ5" s="286"/>
      <c r="AK5" s="286"/>
    </row>
    <row r="6" spans="1:115" s="249" customFormat="1" hidden="1" x14ac:dyDescent="0.2">
      <c r="A6" s="246" t="s">
        <v>219</v>
      </c>
      <c r="B6" s="247" t="s">
        <v>220</v>
      </c>
      <c r="C6" s="247" t="s">
        <v>39</v>
      </c>
      <c r="D6" s="255" t="s">
        <v>141</v>
      </c>
      <c r="E6" s="264">
        <f t="array" ref="E6">IF(SUM(COUNTIF($G6:$ZZ6,{"y","Sa","Su"})),MAX(IF($G6:$ZZ6="y",$G$1:$ZZ$1,""), IF($G6:$ZZ6="Sa",$G$1:$ZZ$1,""),  IF($G6:$ZZ6="Su",$G$1:$ZZ$1,"")),"")</f>
        <v>42546</v>
      </c>
      <c r="F6" s="265">
        <f t="shared" ref="F6:F37" ca="1" si="64">IF(D6="Static shift", "Static shift", IF(E6&lt;&gt;"", INT((TODAY()-E6)/7),"No past shifts"))</f>
        <v>7</v>
      </c>
      <c r="G6" s="248"/>
      <c r="H6" s="248"/>
      <c r="I6" s="248"/>
      <c r="J6" s="248"/>
      <c r="K6" s="248"/>
      <c r="L6" s="248"/>
      <c r="M6" s="248"/>
      <c r="N6" s="248"/>
      <c r="O6" s="248"/>
      <c r="P6" s="248"/>
      <c r="Q6" s="285"/>
      <c r="R6" s="285"/>
      <c r="S6" s="285"/>
      <c r="T6" s="285"/>
      <c r="U6" s="287"/>
      <c r="V6" s="287"/>
      <c r="W6" s="287"/>
      <c r="X6" s="287"/>
      <c r="Y6" s="285"/>
      <c r="Z6" s="285"/>
      <c r="AA6" s="285"/>
      <c r="AB6" s="286"/>
      <c r="AC6" s="286"/>
      <c r="AD6" s="286"/>
      <c r="AE6" s="286"/>
      <c r="AF6" s="288"/>
      <c r="AG6" s="286"/>
      <c r="AH6" s="286"/>
      <c r="AI6" s="286"/>
      <c r="AJ6" s="288"/>
      <c r="AK6" s="286"/>
      <c r="AO6" s="290"/>
      <c r="AP6" s="294"/>
      <c r="AQ6" s="294"/>
      <c r="AR6" s="294"/>
      <c r="AS6" s="295"/>
      <c r="AT6" s="294"/>
      <c r="AU6" s="294"/>
      <c r="AV6" s="294"/>
      <c r="AW6" s="294"/>
      <c r="BB6" s="290"/>
      <c r="BD6" s="290"/>
      <c r="BE6" s="290"/>
      <c r="BG6" s="290"/>
      <c r="BH6" s="290"/>
      <c r="BN6" s="290"/>
      <c r="CL6" s="290" t="s">
        <v>214</v>
      </c>
      <c r="CO6" s="290" t="s">
        <v>214</v>
      </c>
      <c r="CT6" s="290" t="s">
        <v>213</v>
      </c>
      <c r="CX6" s="290" t="s">
        <v>214</v>
      </c>
      <c r="CY6" s="290" t="s">
        <v>213</v>
      </c>
      <c r="CZ6" s="290" t="s">
        <v>213</v>
      </c>
      <c r="DA6" s="290" t="s">
        <v>213</v>
      </c>
    </row>
    <row r="7" spans="1:115" s="249" customFormat="1" x14ac:dyDescent="0.2">
      <c r="A7" s="246" t="s">
        <v>259</v>
      </c>
      <c r="B7" s="247" t="s">
        <v>153</v>
      </c>
      <c r="C7" s="247" t="s">
        <v>31</v>
      </c>
      <c r="D7" s="255" t="s">
        <v>143</v>
      </c>
      <c r="E7" s="264">
        <f t="array" ref="E7">IF(SUM(COUNTIF($G7:$ZZ7,{"y","Sa","Su"})),MAX(IF($G7:$ZZ7="y",$G$1:$ZZ$1,""), IF($G7:$ZZ7="Sa",$G$1:$ZZ$1,""),  IF($G7:$ZZ7="Su",$G$1:$ZZ$1,"")),"")</f>
        <v>42581</v>
      </c>
      <c r="F7" s="265">
        <f t="shared" ca="1" si="64"/>
        <v>2</v>
      </c>
      <c r="G7" s="248"/>
      <c r="H7" s="248" t="s">
        <v>138</v>
      </c>
      <c r="I7" s="248"/>
      <c r="J7" s="248"/>
      <c r="K7" s="248" t="s">
        <v>138</v>
      </c>
      <c r="L7" s="248"/>
      <c r="M7" s="248" t="s">
        <v>138</v>
      </c>
      <c r="N7" s="248"/>
      <c r="O7" s="248" t="s">
        <v>139</v>
      </c>
      <c r="P7" s="248"/>
      <c r="Q7" s="285"/>
      <c r="R7" s="285"/>
      <c r="S7" s="285"/>
      <c r="T7" s="285"/>
      <c r="U7" s="286"/>
      <c r="V7" s="286"/>
      <c r="W7" s="286"/>
      <c r="X7" s="286"/>
      <c r="Y7" s="286"/>
      <c r="Z7" s="286"/>
      <c r="AA7" s="286"/>
      <c r="AB7" s="286"/>
      <c r="AC7" s="286"/>
      <c r="AD7" s="286"/>
      <c r="AE7" s="286"/>
      <c r="AF7" s="286"/>
      <c r="AG7" s="286"/>
      <c r="AH7" s="286"/>
      <c r="AI7" s="286"/>
      <c r="AJ7" s="286"/>
      <c r="AK7" s="286"/>
      <c r="AP7" s="294"/>
      <c r="AQ7" s="294"/>
      <c r="AR7" s="294"/>
      <c r="AS7" s="294"/>
      <c r="CH7" s="290" t="s">
        <v>225</v>
      </c>
      <c r="CP7" s="290" t="s">
        <v>225</v>
      </c>
      <c r="CQ7" s="290" t="s">
        <v>225</v>
      </c>
      <c r="CR7" s="290" t="s">
        <v>225</v>
      </c>
      <c r="CS7" s="290" t="s">
        <v>225</v>
      </c>
      <c r="CT7" s="290" t="s">
        <v>225</v>
      </c>
      <c r="DE7" s="290" t="s">
        <v>214</v>
      </c>
      <c r="DF7" s="290" t="s">
        <v>214</v>
      </c>
      <c r="DG7" s="290" t="s">
        <v>225</v>
      </c>
    </row>
    <row r="8" spans="1:115" s="249" customFormat="1" hidden="1" x14ac:dyDescent="0.2">
      <c r="A8" s="246" t="s">
        <v>132</v>
      </c>
      <c r="B8" s="247" t="s">
        <v>12</v>
      </c>
      <c r="C8" s="247" t="s">
        <v>39</v>
      </c>
      <c r="D8" s="255" t="s">
        <v>141</v>
      </c>
      <c r="E8" s="264">
        <f t="array" ref="E8">IF(SUM(COUNTIF($G8:$ZZ8,{"y","Sa","Su"})),MAX(IF($G8:$ZZ8="y",$G$1:$ZZ$1,""), IF($G8:$ZZ8="Sa",$G$1:$ZZ$1,""),  IF($G8:$ZZ8="Su",$G$1:$ZZ$1,"")),"")</f>
        <v>42084</v>
      </c>
      <c r="F8" s="265">
        <f t="shared" ca="1" si="64"/>
        <v>73</v>
      </c>
      <c r="G8" s="248"/>
      <c r="H8" s="248"/>
      <c r="I8" s="248"/>
      <c r="J8" s="248"/>
      <c r="K8" s="248"/>
      <c r="L8" s="248"/>
      <c r="M8" s="248"/>
      <c r="N8" s="248"/>
      <c r="O8" s="248"/>
      <c r="P8" s="248"/>
      <c r="Q8" s="285"/>
      <c r="R8" s="285"/>
      <c r="S8" s="285"/>
      <c r="T8" s="285"/>
      <c r="U8" s="287"/>
      <c r="V8" s="287"/>
      <c r="W8" s="287"/>
      <c r="X8" s="287"/>
      <c r="Y8" s="287"/>
      <c r="Z8" s="285" t="s">
        <v>139</v>
      </c>
      <c r="AA8" s="287"/>
      <c r="AB8" s="286"/>
      <c r="AC8" s="286"/>
      <c r="AD8" s="288" t="s">
        <v>139</v>
      </c>
      <c r="AE8" s="286"/>
      <c r="AF8" s="286"/>
      <c r="AG8" s="286"/>
      <c r="AH8" s="288" t="s">
        <v>139</v>
      </c>
      <c r="AI8" s="286"/>
      <c r="AJ8" s="286"/>
      <c r="AK8" s="286"/>
      <c r="AL8" s="290"/>
      <c r="AM8" s="290" t="s">
        <v>139</v>
      </c>
    </row>
    <row r="9" spans="1:115" s="249" customFormat="1" x14ac:dyDescent="0.2">
      <c r="A9" s="252" t="s">
        <v>268</v>
      </c>
      <c r="B9" s="247" t="s">
        <v>118</v>
      </c>
      <c r="C9" s="247" t="s">
        <v>39</v>
      </c>
      <c r="D9" s="256" t="s">
        <v>143</v>
      </c>
      <c r="E9" s="264">
        <f t="array" ref="E9">IF(SUM(COUNTIF($G9:$ZZ9,{"y","Sa","Su"})),MAX(IF($G9:$ZZ9="y",$G$1:$ZZ$1,""), IF($G9:$ZZ9="Sa",$G$1:$ZZ$1,""),  IF($G9:$ZZ9="Su",$G$1:$ZZ$1,"")),"")</f>
        <v>42350</v>
      </c>
      <c r="F9" s="265">
        <f t="shared" ca="1" si="64"/>
        <v>35</v>
      </c>
      <c r="G9" s="248"/>
      <c r="H9" s="248"/>
      <c r="I9" s="248"/>
      <c r="J9" s="248"/>
      <c r="K9" s="248"/>
      <c r="L9" s="248"/>
      <c r="M9" s="248"/>
      <c r="N9" s="248"/>
      <c r="O9" s="248"/>
      <c r="P9" s="248"/>
      <c r="Q9" s="248"/>
      <c r="R9" s="248"/>
      <c r="S9" s="248"/>
      <c r="T9" s="248"/>
      <c r="AP9" s="294"/>
      <c r="AQ9" s="294"/>
      <c r="AR9" s="294"/>
      <c r="AS9" s="294"/>
      <c r="BY9" s="290" t="s">
        <v>213</v>
      </c>
      <c r="CY9" s="290" t="s">
        <v>225</v>
      </c>
      <c r="CZ9" s="290"/>
      <c r="DD9" s="290" t="s">
        <v>225</v>
      </c>
      <c r="DG9" s="290" t="s">
        <v>225</v>
      </c>
    </row>
    <row r="10" spans="1:115" s="249" customFormat="1" hidden="1" x14ac:dyDescent="0.2">
      <c r="A10" s="246" t="s">
        <v>27</v>
      </c>
      <c r="B10" s="247" t="s">
        <v>72</v>
      </c>
      <c r="C10" s="247" t="s">
        <v>30</v>
      </c>
      <c r="D10" s="255" t="s">
        <v>142</v>
      </c>
      <c r="E10" s="264">
        <f t="array" ref="E10">IF(SUM(COUNTIF($G10:$ZZ10,{"y","Sa","Su"})),MAX(IF($G10:$ZZ10="y",$G$1:$ZZ$1,""), IF($G10:$ZZ10="Sa",$G$1:$ZZ$1,""),  IF($G10:$ZZ10="Su",$G$1:$ZZ$1,"")),"")</f>
        <v>42322</v>
      </c>
      <c r="F10" s="265">
        <f t="shared" ca="1" si="64"/>
        <v>39</v>
      </c>
      <c r="G10" s="248"/>
      <c r="H10" s="248"/>
      <c r="I10" s="248"/>
      <c r="J10" s="248"/>
      <c r="K10" s="248"/>
      <c r="L10" s="248"/>
      <c r="M10" s="248"/>
      <c r="N10" s="248"/>
      <c r="O10" s="248"/>
      <c r="P10" s="248"/>
      <c r="Q10" s="285"/>
      <c r="R10" s="285"/>
      <c r="S10" s="285"/>
      <c r="T10" s="285"/>
      <c r="U10" s="286"/>
      <c r="V10" s="286"/>
      <c r="W10" s="286"/>
      <c r="X10" s="286"/>
      <c r="Y10" s="286"/>
      <c r="Z10" s="286"/>
      <c r="AA10" s="286"/>
      <c r="AB10" s="286"/>
      <c r="AC10" s="286"/>
      <c r="AD10" s="286"/>
      <c r="AE10" s="286"/>
      <c r="AF10" s="286"/>
      <c r="AG10" s="286"/>
      <c r="AH10" s="286"/>
      <c r="AI10" s="286"/>
      <c r="AJ10" s="286"/>
      <c r="AK10" s="286"/>
      <c r="BS10" s="249" t="s">
        <v>213</v>
      </c>
      <c r="BU10" s="249" t="s">
        <v>213</v>
      </c>
    </row>
    <row r="11" spans="1:115" s="249" customFormat="1" hidden="1" x14ac:dyDescent="0.2">
      <c r="A11" s="246" t="s">
        <v>131</v>
      </c>
      <c r="B11" s="247" t="s">
        <v>90</v>
      </c>
      <c r="C11" s="247" t="s">
        <v>107</v>
      </c>
      <c r="D11" s="255" t="s">
        <v>141</v>
      </c>
      <c r="E11" s="264">
        <f t="array" ref="E11">IF(SUM(COUNTIF($G11:$ZZ11,{"y","Sa","Su"})),MAX(IF($G11:$ZZ11="y",$G$1:$ZZ$1,""), IF($G11:$ZZ11="Sa",$G$1:$ZZ$1,""),  IF($G11:$ZZ11="Su",$G$1:$ZZ$1,"")),"")</f>
        <v>42329</v>
      </c>
      <c r="F11" s="265">
        <f t="shared" ca="1" si="64"/>
        <v>38</v>
      </c>
      <c r="G11" s="248"/>
      <c r="H11" s="248"/>
      <c r="I11" s="248"/>
      <c r="J11" s="248"/>
      <c r="K11" s="248"/>
      <c r="L11" s="248"/>
      <c r="M11" s="248"/>
      <c r="N11" s="248"/>
      <c r="O11" s="248"/>
      <c r="P11" s="248"/>
      <c r="Q11" s="285"/>
      <c r="R11" s="285"/>
      <c r="S11" s="285"/>
      <c r="T11" s="285"/>
      <c r="U11" s="286"/>
      <c r="V11" s="286"/>
      <c r="W11" s="286"/>
      <c r="X11" s="286"/>
      <c r="Y11" s="286"/>
      <c r="Z11" s="286"/>
      <c r="AA11" s="286"/>
      <c r="AB11" s="286"/>
      <c r="AC11" s="286"/>
      <c r="AD11" s="286"/>
      <c r="AE11" s="286"/>
      <c r="AF11" s="286"/>
      <c r="AG11" s="286"/>
      <c r="AH11" s="286"/>
      <c r="AI11" s="286"/>
      <c r="AJ11" s="286"/>
      <c r="AK11" s="286"/>
      <c r="BR11" s="249" t="s">
        <v>213</v>
      </c>
      <c r="BV11" s="249" t="s">
        <v>214</v>
      </c>
    </row>
    <row r="12" spans="1:115" s="249" customFormat="1" hidden="1" x14ac:dyDescent="0.2">
      <c r="A12" s="246" t="s">
        <v>204</v>
      </c>
      <c r="B12" s="247" t="s">
        <v>72</v>
      </c>
      <c r="C12" s="247" t="s">
        <v>158</v>
      </c>
      <c r="D12" s="255" t="s">
        <v>141</v>
      </c>
      <c r="E12" s="264">
        <f t="array" ref="E12">IF(SUM(COUNTIF($G12:$ZZ12,{"y","Sa","Su"})),MAX(IF($G12:$ZZ12="y",$G$1:$ZZ$1,""), IF($G12:$ZZ12="Sa",$G$1:$ZZ$1,""),  IF($G12:$ZZ12="Su",$G$1:$ZZ$1,"")),"")</f>
        <v>42322</v>
      </c>
      <c r="F12" s="265">
        <f t="shared" ca="1" si="64"/>
        <v>39</v>
      </c>
      <c r="G12" s="248"/>
      <c r="H12" s="248"/>
      <c r="I12" s="248"/>
      <c r="J12" s="248"/>
      <c r="K12" s="248"/>
      <c r="L12" s="248"/>
      <c r="M12" s="248"/>
      <c r="N12" s="248"/>
      <c r="O12" s="248"/>
      <c r="P12" s="248"/>
      <c r="Q12" s="285"/>
      <c r="R12" s="285"/>
      <c r="S12" s="285"/>
      <c r="T12" s="285"/>
      <c r="U12" s="286"/>
      <c r="V12" s="286"/>
      <c r="W12" s="286"/>
      <c r="X12" s="286"/>
      <c r="Y12" s="286"/>
      <c r="Z12" s="286"/>
      <c r="AA12" s="286"/>
      <c r="AB12" s="286"/>
      <c r="AC12" s="286"/>
      <c r="AD12" s="286"/>
      <c r="AE12" s="286"/>
      <c r="AF12" s="286"/>
      <c r="AG12" s="286"/>
      <c r="AH12" s="286"/>
      <c r="AI12" s="286"/>
      <c r="AJ12" s="286"/>
      <c r="AK12" s="286"/>
      <c r="BU12" s="249" t="s">
        <v>214</v>
      </c>
    </row>
    <row r="13" spans="1:115" s="249" customFormat="1" x14ac:dyDescent="0.2">
      <c r="A13" s="246" t="s">
        <v>240</v>
      </c>
      <c r="B13" s="247" t="s">
        <v>220</v>
      </c>
      <c r="C13" s="247" t="s">
        <v>39</v>
      </c>
      <c r="D13" s="255" t="s">
        <v>143</v>
      </c>
      <c r="E13" s="264">
        <f t="array" ref="E13">IF(SUM(COUNTIF($G13:$ZZ13,{"y","Sa","Su"})),MAX(IF($G13:$ZZ13="y",$G$1:$ZZ$1,""), IF($G13:$ZZ13="Sa",$G$1:$ZZ$1,""),  IF($G13:$ZZ13="Su",$G$1:$ZZ$1,"")),"")</f>
        <v>42560</v>
      </c>
      <c r="F13" s="265">
        <f t="shared" ca="1" si="64"/>
        <v>5</v>
      </c>
      <c r="G13" s="248"/>
      <c r="H13" s="248"/>
      <c r="I13" s="248"/>
      <c r="J13" s="248"/>
      <c r="K13" s="248"/>
      <c r="L13" s="248"/>
      <c r="M13" s="248"/>
      <c r="N13" s="248"/>
      <c r="O13" s="248"/>
      <c r="P13" s="248"/>
      <c r="Q13" s="285"/>
      <c r="R13" s="285"/>
      <c r="S13" s="285"/>
      <c r="T13" s="285"/>
      <c r="U13" s="287"/>
      <c r="V13" s="287"/>
      <c r="W13" s="287"/>
      <c r="X13" s="287"/>
      <c r="Y13" s="287"/>
      <c r="Z13" s="285"/>
      <c r="AA13" s="287"/>
      <c r="AB13" s="286"/>
      <c r="AC13" s="286"/>
      <c r="AD13" s="288"/>
      <c r="AE13" s="286"/>
      <c r="AF13" s="286"/>
      <c r="AG13" s="286"/>
      <c r="AH13" s="288"/>
      <c r="AI13" s="286"/>
      <c r="AJ13" s="286"/>
      <c r="AK13" s="286"/>
      <c r="AL13" s="290"/>
      <c r="AM13" s="290"/>
      <c r="CV13" s="290" t="s">
        <v>213</v>
      </c>
      <c r="DA13" s="290"/>
      <c r="DC13" s="290" t="s">
        <v>213</v>
      </c>
    </row>
    <row r="14" spans="1:115" s="249" customFormat="1" hidden="1" x14ac:dyDescent="0.2">
      <c r="A14" s="246" t="s">
        <v>140</v>
      </c>
      <c r="B14" s="247" t="s">
        <v>210</v>
      </c>
      <c r="C14" s="247" t="s">
        <v>39</v>
      </c>
      <c r="D14" s="255" t="s">
        <v>137</v>
      </c>
      <c r="E14" s="264">
        <f t="array" ref="E14">IF(SUM(COUNTIF($G14:$ZZ14,{"y","Sa","Su"})),MAX(IF($G14:$ZZ14="y",$G$1:$ZZ$1,""), IF($G14:$ZZ14="Sa",$G$1:$ZZ$1,""),  IF($G14:$ZZ14="Su",$G$1:$ZZ$1,"")),"")</f>
        <v>42357</v>
      </c>
      <c r="F14" s="265" t="str">
        <f t="shared" ca="1" si="64"/>
        <v>Static shift</v>
      </c>
      <c r="G14" s="248"/>
      <c r="H14" s="248" t="s">
        <v>139</v>
      </c>
      <c r="I14" s="248"/>
      <c r="J14" s="248"/>
      <c r="K14" s="248" t="s">
        <v>139</v>
      </c>
      <c r="L14" s="248"/>
      <c r="M14" s="248"/>
      <c r="N14" s="248"/>
      <c r="O14" s="248"/>
      <c r="P14" s="248"/>
      <c r="Q14" s="285"/>
      <c r="R14" s="285"/>
      <c r="S14" s="285"/>
      <c r="T14" s="285"/>
      <c r="U14" s="286"/>
      <c r="V14" s="286"/>
      <c r="W14" s="286"/>
      <c r="X14" s="286"/>
      <c r="Y14" s="286"/>
      <c r="Z14" s="286"/>
      <c r="AA14" s="286"/>
      <c r="AB14" s="286"/>
      <c r="AC14" s="286"/>
      <c r="AD14" s="286"/>
      <c r="AE14" s="286"/>
      <c r="AF14" s="286"/>
      <c r="AG14" s="286"/>
      <c r="AH14" s="286"/>
      <c r="AI14" s="286"/>
      <c r="AJ14" s="286"/>
      <c r="AK14" s="286"/>
      <c r="AX14" s="290" t="s">
        <v>139</v>
      </c>
      <c r="BC14" s="290" t="s">
        <v>139</v>
      </c>
      <c r="BH14" s="290"/>
      <c r="BR14" s="290" t="s">
        <v>213</v>
      </c>
      <c r="BZ14" s="249" t="s">
        <v>214</v>
      </c>
    </row>
    <row r="15" spans="1:115" s="249" customFormat="1" x14ac:dyDescent="0.2">
      <c r="A15" s="246" t="s">
        <v>0</v>
      </c>
      <c r="B15" s="247" t="s">
        <v>72</v>
      </c>
      <c r="C15" s="247" t="s">
        <v>31</v>
      </c>
      <c r="D15" s="255" t="s">
        <v>143</v>
      </c>
      <c r="E15" s="264">
        <f t="array" ref="E15">IF(SUM(COUNTIF($G15:$ZZ15,{"y","Sa","Su"})),MAX(IF($G15:$ZZ15="y",$G$1:$ZZ$1,""), IF($G15:$ZZ15="Sa",$G$1:$ZZ$1,""),  IF($G15:$ZZ15="Su",$G$1:$ZZ$1,"")),"")</f>
        <v>42574</v>
      </c>
      <c r="F15" s="265">
        <f t="shared" ca="1" si="64"/>
        <v>3</v>
      </c>
      <c r="G15" s="248"/>
      <c r="H15" s="248"/>
      <c r="I15" s="248"/>
      <c r="J15" s="248"/>
      <c r="K15" s="248"/>
      <c r="L15" s="248"/>
      <c r="M15" s="248"/>
      <c r="N15" s="248"/>
      <c r="O15" s="248"/>
      <c r="P15" s="248"/>
      <c r="Q15" s="285"/>
      <c r="R15" s="285"/>
      <c r="S15" s="285"/>
      <c r="T15" s="285"/>
      <c r="U15" s="286"/>
      <c r="V15" s="286"/>
      <c r="W15" s="286"/>
      <c r="X15" s="286"/>
      <c r="Y15" s="286"/>
      <c r="Z15" s="286"/>
      <c r="AA15" s="286"/>
      <c r="AB15" s="286"/>
      <c r="AC15" s="286"/>
      <c r="AD15" s="286"/>
      <c r="AE15" s="286"/>
      <c r="AF15" s="286"/>
      <c r="AG15" s="286"/>
      <c r="AH15" s="286"/>
      <c r="AI15" s="286"/>
      <c r="AJ15" s="286"/>
      <c r="AK15" s="286"/>
      <c r="AP15" s="294"/>
      <c r="AQ15" s="294"/>
      <c r="AR15" s="294"/>
      <c r="AS15" s="294"/>
      <c r="BT15" s="249" t="s">
        <v>214</v>
      </c>
      <c r="CV15" s="290" t="s">
        <v>213</v>
      </c>
      <c r="DB15" s="290"/>
      <c r="DE15" s="290" t="s">
        <v>213</v>
      </c>
    </row>
    <row r="16" spans="1:115" s="249" customFormat="1" hidden="1" x14ac:dyDescent="0.2">
      <c r="A16" s="246" t="s">
        <v>99</v>
      </c>
      <c r="B16" s="247" t="s">
        <v>118</v>
      </c>
      <c r="C16" s="247" t="s">
        <v>30</v>
      </c>
      <c r="D16" s="255" t="s">
        <v>142</v>
      </c>
      <c r="E16" s="264">
        <f t="array" ref="E16">IF(SUM(COUNTIF($G16:$ZZ16,{"y","Sa","Su"})),MAX(IF($G16:$ZZ16="y",$G$1:$ZZ$1,""), IF($G16:$ZZ16="Sa",$G$1:$ZZ$1,""),  IF($G16:$ZZ16="Su",$G$1:$ZZ$1,"")),"")</f>
        <v>42322</v>
      </c>
      <c r="F16" s="265">
        <f t="shared" ca="1" si="64"/>
        <v>39</v>
      </c>
      <c r="G16" s="248" t="s">
        <v>138</v>
      </c>
      <c r="H16" s="248"/>
      <c r="I16" s="248"/>
      <c r="J16" s="248" t="s">
        <v>138</v>
      </c>
      <c r="K16" s="248"/>
      <c r="L16" s="248"/>
      <c r="M16" s="248"/>
      <c r="N16" s="248"/>
      <c r="O16" s="248" t="s">
        <v>138</v>
      </c>
      <c r="P16" s="248"/>
      <c r="Q16" s="285" t="s">
        <v>138</v>
      </c>
      <c r="R16" s="285"/>
      <c r="S16" s="285"/>
      <c r="T16" s="285" t="s">
        <v>138</v>
      </c>
      <c r="U16" s="285" t="s">
        <v>138</v>
      </c>
      <c r="V16" s="287"/>
      <c r="W16" s="287"/>
      <c r="X16" s="287"/>
      <c r="Y16" s="287"/>
      <c r="Z16" s="287"/>
      <c r="AA16" s="287"/>
      <c r="AB16" s="286"/>
      <c r="AC16" s="286"/>
      <c r="AD16" s="288" t="s">
        <v>139</v>
      </c>
      <c r="AE16" s="286"/>
      <c r="AF16" s="288" t="s">
        <v>138</v>
      </c>
      <c r="AG16" s="286"/>
      <c r="AH16" s="286"/>
      <c r="AI16" s="286"/>
      <c r="AJ16" s="286"/>
      <c r="AK16" s="286"/>
      <c r="AN16" s="290" t="s">
        <v>138</v>
      </c>
      <c r="AO16" s="290" t="s">
        <v>138</v>
      </c>
      <c r="AP16" s="295" t="s">
        <v>139</v>
      </c>
      <c r="AQ16" s="294"/>
      <c r="AR16" s="294"/>
      <c r="AS16" s="294"/>
      <c r="AT16" s="294"/>
      <c r="AU16" s="294"/>
      <c r="AV16" s="295" t="s">
        <v>139</v>
      </c>
      <c r="AW16" s="294"/>
      <c r="AY16" s="290" t="s">
        <v>139</v>
      </c>
      <c r="BF16" s="290"/>
      <c r="BO16" s="290" t="s">
        <v>225</v>
      </c>
      <c r="BU16" s="249" t="s">
        <v>214</v>
      </c>
    </row>
    <row r="17" spans="1:111" s="249" customFormat="1" hidden="1" x14ac:dyDescent="0.2">
      <c r="A17" s="246" t="s">
        <v>167</v>
      </c>
      <c r="B17" s="247" t="s">
        <v>220</v>
      </c>
      <c r="C17" s="247" t="s">
        <v>39</v>
      </c>
      <c r="D17" s="255" t="s">
        <v>142</v>
      </c>
      <c r="E17" s="264">
        <f t="array" ref="E17">IF(SUM(COUNTIF($G17:$ZZ17,{"y","Sa","Su"})),MAX(IF($G17:$ZZ17="y",$G$1:$ZZ$1,""), IF($G17:$ZZ17="Sa",$G$1:$ZZ$1,""),  IF($G17:$ZZ17="Su",$G$1:$ZZ$1,"")),"")</f>
        <v>42455</v>
      </c>
      <c r="F17" s="265">
        <f t="shared" ca="1" si="64"/>
        <v>20</v>
      </c>
      <c r="G17" s="248"/>
      <c r="H17" s="248"/>
      <c r="I17" s="248"/>
      <c r="J17" s="248"/>
      <c r="K17" s="248"/>
      <c r="L17" s="248"/>
      <c r="M17" s="248"/>
      <c r="N17" s="248"/>
      <c r="O17" s="248"/>
      <c r="P17" s="248"/>
      <c r="Q17" s="285"/>
      <c r="R17" s="285"/>
      <c r="S17" s="285"/>
      <c r="T17" s="285"/>
      <c r="U17" s="285"/>
      <c r="V17" s="287"/>
      <c r="W17" s="287"/>
      <c r="X17" s="287"/>
      <c r="Y17" s="287"/>
      <c r="Z17" s="287"/>
      <c r="AA17" s="287"/>
      <c r="AB17" s="286"/>
      <c r="AC17" s="286"/>
      <c r="AD17" s="288"/>
      <c r="AE17" s="286"/>
      <c r="AF17" s="288"/>
      <c r="AG17" s="286"/>
      <c r="AH17" s="286"/>
      <c r="AI17" s="286"/>
      <c r="AJ17" s="286"/>
      <c r="AK17" s="286"/>
      <c r="AN17" s="290"/>
      <c r="AO17" s="290"/>
      <c r="AP17" s="295"/>
      <c r="AQ17" s="294"/>
      <c r="AR17" s="294"/>
      <c r="AS17" s="294"/>
      <c r="AT17" s="294"/>
      <c r="AU17" s="294"/>
      <c r="AV17" s="295"/>
      <c r="AW17" s="294"/>
      <c r="AY17" s="290"/>
      <c r="BF17" s="290"/>
      <c r="BG17" s="290"/>
      <c r="BH17" s="290" t="s">
        <v>214</v>
      </c>
      <c r="BL17" s="290" t="s">
        <v>214</v>
      </c>
      <c r="BM17" s="290"/>
      <c r="BO17" s="290" t="s">
        <v>225</v>
      </c>
      <c r="BQ17" s="290"/>
      <c r="BR17" s="290" t="s">
        <v>213</v>
      </c>
      <c r="BS17" s="290"/>
      <c r="BT17" s="290"/>
      <c r="BV17" s="290" t="s">
        <v>214</v>
      </c>
      <c r="BZ17" s="249" t="s">
        <v>214</v>
      </c>
      <c r="CE17" s="290" t="s">
        <v>214</v>
      </c>
      <c r="CN17" s="290" t="s">
        <v>214</v>
      </c>
    </row>
    <row r="18" spans="1:111" s="249" customFormat="1" hidden="1" x14ac:dyDescent="0.2">
      <c r="A18" s="246" t="s">
        <v>113</v>
      </c>
      <c r="B18" s="247" t="s">
        <v>210</v>
      </c>
      <c r="C18" s="247" t="s">
        <v>31</v>
      </c>
      <c r="D18" s="255" t="s">
        <v>141</v>
      </c>
      <c r="E18" s="264">
        <f t="array" ref="E18">IF(SUM(COUNTIF($G18:$ZZ18,{"y","Sa","Su"})),MAX(IF($G18:$ZZ18="y",$G$1:$ZZ$1,""), IF($G18:$ZZ18="Sa",$G$1:$ZZ$1,""),  IF($G18:$ZZ18="Su",$G$1:$ZZ$1,"")),"")</f>
        <v>42385</v>
      </c>
      <c r="F18" s="265">
        <f t="shared" ca="1" si="64"/>
        <v>30</v>
      </c>
      <c r="G18" s="248"/>
      <c r="H18" s="248" t="s">
        <v>139</v>
      </c>
      <c r="I18" s="248"/>
      <c r="J18" s="248"/>
      <c r="K18" s="248"/>
      <c r="L18" s="248" t="s">
        <v>139</v>
      </c>
      <c r="M18" s="248"/>
      <c r="N18" s="248"/>
      <c r="O18" s="248"/>
      <c r="P18" s="248"/>
      <c r="Q18" s="285"/>
      <c r="R18" s="285"/>
      <c r="S18" s="285"/>
      <c r="T18" s="285"/>
      <c r="U18" s="287"/>
      <c r="V18" s="285" t="s">
        <v>139</v>
      </c>
      <c r="W18" s="287"/>
      <c r="X18" s="287"/>
      <c r="Y18" s="285" t="s">
        <v>139</v>
      </c>
      <c r="Z18" s="287"/>
      <c r="AA18" s="287"/>
      <c r="AB18" s="286"/>
      <c r="AC18" s="286"/>
      <c r="AD18" s="286"/>
      <c r="AE18" s="286"/>
      <c r="AF18" s="286"/>
      <c r="AG18" s="288" t="s">
        <v>139</v>
      </c>
      <c r="AH18" s="288"/>
      <c r="AI18" s="286"/>
      <c r="AJ18" s="288" t="s">
        <v>139</v>
      </c>
      <c r="AK18" s="288"/>
      <c r="AO18" s="290"/>
      <c r="AP18" s="295" t="s">
        <v>139</v>
      </c>
      <c r="AQ18" s="294"/>
      <c r="AR18" s="294"/>
      <c r="AS18" s="294"/>
      <c r="AT18" s="294"/>
      <c r="AU18" s="294"/>
      <c r="AV18" s="295" t="s">
        <v>139</v>
      </c>
      <c r="AW18" s="294"/>
      <c r="AZ18" s="290" t="s">
        <v>139</v>
      </c>
      <c r="BE18" s="290" t="s">
        <v>213</v>
      </c>
      <c r="BF18" s="290"/>
      <c r="BG18" s="290"/>
      <c r="BH18" s="290" t="s">
        <v>214</v>
      </c>
      <c r="BK18" s="290" t="s">
        <v>213</v>
      </c>
      <c r="BO18" s="290" t="s">
        <v>213</v>
      </c>
      <c r="BQ18" s="290" t="s">
        <v>225</v>
      </c>
      <c r="BS18" s="290" t="s">
        <v>214</v>
      </c>
      <c r="BW18" s="290" t="s">
        <v>213</v>
      </c>
      <c r="CD18" s="290" t="s">
        <v>214</v>
      </c>
      <c r="CK18" s="290"/>
    </row>
    <row r="19" spans="1:111" s="249" customFormat="1" x14ac:dyDescent="0.2">
      <c r="A19" s="246" t="s">
        <v>254</v>
      </c>
      <c r="B19" s="247" t="s">
        <v>210</v>
      </c>
      <c r="C19" s="247" t="s">
        <v>39</v>
      </c>
      <c r="D19" s="256" t="s">
        <v>143</v>
      </c>
      <c r="E19" s="264">
        <f t="array" ref="E19">IF(SUM(COUNTIF($G19:$ZZ19,{"y","Sa","Su"})),MAX(IF($G19:$ZZ19="y",$G$1:$ZZ$1,""), IF($G19:$ZZ19="Sa",$G$1:$ZZ$1,""),  IF($G19:$ZZ19="Su",$G$1:$ZZ$1,"")),"")</f>
        <v>42574</v>
      </c>
      <c r="F19" s="265">
        <f t="shared" ca="1" si="64"/>
        <v>3</v>
      </c>
      <c r="G19" s="248"/>
      <c r="H19" s="248"/>
      <c r="I19" s="248"/>
      <c r="J19" s="248"/>
      <c r="K19" s="248"/>
      <c r="L19" s="248"/>
      <c r="M19" s="248"/>
      <c r="N19" s="248"/>
      <c r="O19" s="248"/>
      <c r="P19" s="248"/>
      <c r="Q19" s="248"/>
      <c r="R19" s="248"/>
      <c r="S19" s="248"/>
      <c r="T19" s="248"/>
      <c r="AM19" s="290" t="s">
        <v>139</v>
      </c>
      <c r="AP19" s="294"/>
      <c r="AQ19" s="294"/>
      <c r="AR19" s="294"/>
      <c r="AS19" s="294"/>
      <c r="AT19" s="295"/>
      <c r="AU19" s="294"/>
      <c r="AV19" s="295" t="s">
        <v>139</v>
      </c>
      <c r="AW19" s="294"/>
      <c r="BB19" s="290" t="s">
        <v>139</v>
      </c>
      <c r="BF19" s="290"/>
      <c r="BG19" s="290" t="s">
        <v>214</v>
      </c>
      <c r="BI19" s="290"/>
      <c r="BJ19" s="249" t="s">
        <v>213</v>
      </c>
      <c r="BM19" s="290" t="s">
        <v>214</v>
      </c>
      <c r="BP19" s="290" t="s">
        <v>214</v>
      </c>
      <c r="BS19" s="290" t="s">
        <v>213</v>
      </c>
      <c r="BV19" s="290" t="s">
        <v>213</v>
      </c>
      <c r="BZ19" s="249" t="s">
        <v>214</v>
      </c>
      <c r="CE19" s="290" t="s">
        <v>213</v>
      </c>
      <c r="CK19" s="290" t="s">
        <v>214</v>
      </c>
      <c r="CP19" s="290"/>
      <c r="CQ19" s="290" t="s">
        <v>213</v>
      </c>
      <c r="CT19" s="290" t="s">
        <v>225</v>
      </c>
      <c r="CV19" s="290" t="s">
        <v>214</v>
      </c>
      <c r="CX19" s="290" t="s">
        <v>225</v>
      </c>
      <c r="DA19" s="290"/>
      <c r="DC19" s="290" t="s">
        <v>225</v>
      </c>
      <c r="DE19" s="290" t="s">
        <v>214</v>
      </c>
    </row>
    <row r="20" spans="1:111" s="249" customFormat="1" x14ac:dyDescent="0.2">
      <c r="A20" s="246" t="s">
        <v>108</v>
      </c>
      <c r="B20" s="247" t="s">
        <v>72</v>
      </c>
      <c r="C20" s="247" t="s">
        <v>31</v>
      </c>
      <c r="D20" s="255" t="s">
        <v>143</v>
      </c>
      <c r="E20" s="264">
        <f t="array" ref="E20">IF(SUM(COUNTIF($G20:$ZZ20,{"y","Sa","Su"})),MAX(IF($G20:$ZZ20="y",$G$1:$ZZ$1,""), IF($G20:$ZZ20="Sa",$G$1:$ZZ$1,""),  IF($G20:$ZZ20="Su",$G$1:$ZZ$1,"")),"")</f>
        <v>42588</v>
      </c>
      <c r="F20" s="265">
        <f t="shared" ca="1" si="64"/>
        <v>1</v>
      </c>
      <c r="G20" s="248" t="s">
        <v>139</v>
      </c>
      <c r="H20" s="248"/>
      <c r="I20" s="248"/>
      <c r="J20" s="248"/>
      <c r="K20" s="248"/>
      <c r="L20" s="248"/>
      <c r="M20" s="248"/>
      <c r="N20" s="248" t="s">
        <v>139</v>
      </c>
      <c r="O20" s="248"/>
      <c r="P20" s="248"/>
      <c r="Q20" s="285"/>
      <c r="R20" s="285"/>
      <c r="S20" s="285"/>
      <c r="T20" s="285" t="s">
        <v>139</v>
      </c>
      <c r="U20" s="287"/>
      <c r="V20" s="287"/>
      <c r="W20" s="287"/>
      <c r="X20" s="287"/>
      <c r="Y20" s="287"/>
      <c r="Z20" s="285" t="s">
        <v>139</v>
      </c>
      <c r="AA20" s="285"/>
      <c r="AB20" s="286"/>
      <c r="AC20" s="286"/>
      <c r="AD20" s="286"/>
      <c r="AE20" s="288" t="s">
        <v>139</v>
      </c>
      <c r="AF20" s="286"/>
      <c r="AG20" s="286"/>
      <c r="AH20" s="286"/>
      <c r="AI20" s="286"/>
      <c r="AJ20" s="288"/>
      <c r="AK20" s="286"/>
      <c r="AL20" s="290" t="s">
        <v>139</v>
      </c>
      <c r="AP20" s="294"/>
      <c r="AQ20" s="295" t="s">
        <v>139</v>
      </c>
      <c r="AR20" s="294"/>
      <c r="AS20" s="294"/>
      <c r="AT20" s="294"/>
      <c r="AU20" s="294"/>
      <c r="AV20" s="295"/>
      <c r="AW20" s="295" t="s">
        <v>139</v>
      </c>
      <c r="BB20" s="290" t="s">
        <v>139</v>
      </c>
      <c r="BG20" s="290" t="s">
        <v>214</v>
      </c>
      <c r="BK20" s="249" t="s">
        <v>214</v>
      </c>
      <c r="BN20" s="290"/>
      <c r="BO20" s="290" t="s">
        <v>214</v>
      </c>
      <c r="BT20" s="290" t="s">
        <v>213</v>
      </c>
      <c r="BX20" s="290" t="s">
        <v>214</v>
      </c>
      <c r="CC20" s="290" t="s">
        <v>213</v>
      </c>
      <c r="CH20" s="290" t="s">
        <v>214</v>
      </c>
      <c r="CL20" s="328" t="s">
        <v>213</v>
      </c>
      <c r="CS20" s="290" t="s">
        <v>214</v>
      </c>
      <c r="CV20" s="290" t="s">
        <v>213</v>
      </c>
      <c r="DB20" s="290" t="s">
        <v>214</v>
      </c>
      <c r="DG20" s="290" t="s">
        <v>214</v>
      </c>
    </row>
    <row r="21" spans="1:111" s="249" customFormat="1" x14ac:dyDescent="0.2">
      <c r="A21" s="252" t="s">
        <v>238</v>
      </c>
      <c r="B21" s="247" t="s">
        <v>118</v>
      </c>
      <c r="C21" s="247" t="s">
        <v>39</v>
      </c>
      <c r="D21" s="256" t="s">
        <v>143</v>
      </c>
      <c r="E21" s="264">
        <f t="array" ref="E21">IF(SUM(COUNTIF($G21:$ZZ21,{"y","Sa","Su"})),MAX(IF($G21:$ZZ21="y",$G$1:$ZZ$1,""), IF($G21:$ZZ21="Sa",$G$1:$ZZ$1,""),  IF($G21:$ZZ21="Su",$G$1:$ZZ$1,"")),"")</f>
        <v>42553</v>
      </c>
      <c r="F21" s="265">
        <f t="shared" ca="1" si="64"/>
        <v>6</v>
      </c>
      <c r="G21" s="248"/>
      <c r="H21" s="248"/>
      <c r="I21" s="248"/>
      <c r="J21" s="248"/>
      <c r="K21" s="248"/>
      <c r="L21" s="248"/>
      <c r="M21" s="248"/>
      <c r="N21" s="248"/>
      <c r="O21" s="248"/>
      <c r="P21" s="248"/>
      <c r="Q21" s="248"/>
      <c r="R21" s="248"/>
      <c r="S21" s="248"/>
      <c r="T21" s="248"/>
      <c r="AP21" s="294"/>
      <c r="AQ21" s="294"/>
      <c r="AR21" s="294"/>
      <c r="AS21" s="294"/>
      <c r="CV21" s="290" t="s">
        <v>214</v>
      </c>
      <c r="DB21" s="290" t="s">
        <v>214</v>
      </c>
      <c r="DG21" s="290"/>
    </row>
    <row r="22" spans="1:111" s="249" customFormat="1" hidden="1" x14ac:dyDescent="0.2">
      <c r="A22" s="246" t="s">
        <v>106</v>
      </c>
      <c r="B22" s="247" t="s">
        <v>220</v>
      </c>
      <c r="C22" s="247" t="s">
        <v>31</v>
      </c>
      <c r="D22" s="255" t="s">
        <v>137</v>
      </c>
      <c r="E22" s="264">
        <f t="array" ref="E22">IF(SUM(COUNTIF($G22:$ZZ22,{"y","Sa","Su"})),MAX(IF($G22:$ZZ22="y",$G$1:$ZZ$1,""), IF($G22:$ZZ22="Sa",$G$1:$ZZ$1,""),  IF($G22:$ZZ22="Su",$G$1:$ZZ$1,"")),"")</f>
        <v>42336</v>
      </c>
      <c r="F22" s="265" t="str">
        <f t="shared" ca="1" si="64"/>
        <v>Static shift</v>
      </c>
      <c r="G22" s="248"/>
      <c r="H22" s="248"/>
      <c r="I22" s="248"/>
      <c r="J22" s="248"/>
      <c r="K22" s="248"/>
      <c r="L22" s="248"/>
      <c r="M22" s="248"/>
      <c r="N22" s="248"/>
      <c r="O22" s="248"/>
      <c r="P22" s="248"/>
      <c r="Q22" s="285"/>
      <c r="R22" s="285"/>
      <c r="S22" s="285"/>
      <c r="T22" s="285"/>
      <c r="U22" s="286"/>
      <c r="V22" s="286"/>
      <c r="W22" s="286"/>
      <c r="X22" s="286"/>
      <c r="Y22" s="286"/>
      <c r="Z22" s="286"/>
      <c r="AA22" s="286"/>
      <c r="AB22" s="286"/>
      <c r="AC22" s="286"/>
      <c r="AD22" s="286"/>
      <c r="AE22" s="286"/>
      <c r="AF22" s="286"/>
      <c r="AG22" s="286"/>
      <c r="AH22" s="286"/>
      <c r="AI22" s="286"/>
      <c r="AJ22" s="286"/>
      <c r="AK22" s="286"/>
      <c r="AP22" s="294"/>
      <c r="AQ22" s="294"/>
      <c r="AR22" s="294"/>
      <c r="AS22" s="294"/>
      <c r="BW22" s="249" t="s">
        <v>214</v>
      </c>
    </row>
    <row r="23" spans="1:111" s="249" customFormat="1" hidden="1" x14ac:dyDescent="0.2">
      <c r="A23" s="246" t="s">
        <v>34</v>
      </c>
      <c r="B23" s="247" t="s">
        <v>118</v>
      </c>
      <c r="C23" s="247" t="s">
        <v>30</v>
      </c>
      <c r="D23" s="255" t="s">
        <v>142</v>
      </c>
      <c r="E23" s="264">
        <f t="array" ref="E23">IF(SUM(COUNTIF($G23:$ZZ23,{"y","Sa","Su"})),MAX(IF($G23:$ZZ23="y",$G$1:$ZZ$1,""), IF($G23:$ZZ23="Sa",$G$1:$ZZ$1,""),  IF($G23:$ZZ23="Su",$G$1:$ZZ$1,"")),"")</f>
        <v>42329</v>
      </c>
      <c r="F23" s="265">
        <f t="shared" ca="1" si="64"/>
        <v>38</v>
      </c>
      <c r="G23" s="248"/>
      <c r="H23" s="248"/>
      <c r="I23" s="248"/>
      <c r="J23" s="248"/>
      <c r="K23" s="248"/>
      <c r="L23" s="248"/>
      <c r="M23" s="248"/>
      <c r="N23" s="248"/>
      <c r="O23" s="248"/>
      <c r="P23" s="248"/>
      <c r="Q23" s="285"/>
      <c r="R23" s="285"/>
      <c r="S23" s="285"/>
      <c r="T23" s="285"/>
      <c r="U23" s="286"/>
      <c r="V23" s="286"/>
      <c r="W23" s="286"/>
      <c r="X23" s="286"/>
      <c r="Y23" s="286"/>
      <c r="Z23" s="286"/>
      <c r="AA23" s="286"/>
      <c r="AB23" s="286"/>
      <c r="AC23" s="286"/>
      <c r="AD23" s="286"/>
      <c r="AE23" s="286"/>
      <c r="AF23" s="286"/>
      <c r="AG23" s="286"/>
      <c r="AH23" s="286"/>
      <c r="AI23" s="286"/>
      <c r="AJ23" s="286"/>
      <c r="AK23" s="286"/>
      <c r="BS23" s="249" t="s">
        <v>213</v>
      </c>
      <c r="BV23" s="249" t="s">
        <v>213</v>
      </c>
    </row>
    <row r="24" spans="1:111" s="249" customFormat="1" x14ac:dyDescent="0.2">
      <c r="A24" s="246" t="s">
        <v>235</v>
      </c>
      <c r="B24" s="247" t="s">
        <v>72</v>
      </c>
      <c r="C24" s="247" t="s">
        <v>39</v>
      </c>
      <c r="D24" s="255" t="s">
        <v>143</v>
      </c>
      <c r="E24" s="264">
        <f t="array" ref="E24">IF(SUM(COUNTIF($G24:$ZZ24,{"y","Sa","Su"})),MAX(IF($G24:$ZZ24="y",$G$1:$ZZ$1,""), IF($G24:$ZZ24="Sa",$G$1:$ZZ$1,""),  IF($G24:$ZZ24="Su",$G$1:$ZZ$1,"")),"")</f>
        <v>42581</v>
      </c>
      <c r="F24" s="265">
        <f t="shared" ca="1" si="64"/>
        <v>2</v>
      </c>
      <c r="G24" s="248"/>
      <c r="H24" s="248"/>
      <c r="I24" s="248"/>
      <c r="J24" s="248"/>
      <c r="K24" s="248"/>
      <c r="L24" s="248"/>
      <c r="M24" s="248"/>
      <c r="N24" s="248"/>
      <c r="O24" s="248"/>
      <c r="P24" s="248"/>
      <c r="Q24" s="285"/>
      <c r="R24" s="285"/>
      <c r="S24" s="285"/>
      <c r="T24" s="285"/>
      <c r="U24" s="287"/>
      <c r="V24" s="287"/>
      <c r="W24" s="285"/>
      <c r="X24" s="287"/>
      <c r="Y24" s="287"/>
      <c r="Z24" s="287"/>
      <c r="AA24" s="287"/>
      <c r="AB24" s="288"/>
      <c r="AC24" s="286"/>
      <c r="AD24" s="288"/>
      <c r="AE24" s="286"/>
      <c r="AF24" s="286"/>
      <c r="AG24" s="286"/>
      <c r="AH24" s="288"/>
      <c r="AI24" s="288"/>
      <c r="AJ24" s="288"/>
      <c r="AK24" s="286"/>
      <c r="AN24" s="290"/>
      <c r="AO24" s="290"/>
      <c r="AP24" s="294"/>
      <c r="AQ24" s="295"/>
      <c r="AR24" s="294"/>
      <c r="AS24" s="294"/>
      <c r="AT24" s="294"/>
      <c r="AU24" s="295"/>
      <c r="AV24" s="294"/>
      <c r="AW24" s="294"/>
      <c r="AY24" s="290"/>
      <c r="BB24" s="290"/>
      <c r="CR24" s="290" t="s">
        <v>214</v>
      </c>
      <c r="CV24" s="290" t="s">
        <v>213</v>
      </c>
      <c r="DA24" s="290"/>
      <c r="DB24" s="290" t="s">
        <v>213</v>
      </c>
      <c r="DF24" s="290" t="s">
        <v>213</v>
      </c>
    </row>
    <row r="25" spans="1:111" s="249" customFormat="1" hidden="1" x14ac:dyDescent="0.2">
      <c r="A25" s="246" t="s">
        <v>120</v>
      </c>
      <c r="B25" s="247" t="s">
        <v>72</v>
      </c>
      <c r="C25" s="247" t="s">
        <v>39</v>
      </c>
      <c r="D25" s="255" t="s">
        <v>141</v>
      </c>
      <c r="E25" s="264">
        <f t="array" ref="E25">IF(SUM(COUNTIF($G25:$ZZ25,{"y","Sa","Su"})),MAX(IF($G25:$ZZ25="y",$G$1:$ZZ$1,""), IF($G25:$ZZ25="Sa",$G$1:$ZZ$1,""),  IF($G25:$ZZ25="Su",$G$1:$ZZ$1,"")),"")</f>
        <v>42329</v>
      </c>
      <c r="F25" s="265">
        <f t="shared" ca="1" si="64"/>
        <v>38</v>
      </c>
      <c r="G25" s="248"/>
      <c r="H25" s="248" t="s">
        <v>139</v>
      </c>
      <c r="I25" s="248"/>
      <c r="J25" s="248"/>
      <c r="K25" s="248"/>
      <c r="L25" s="248"/>
      <c r="M25" s="248"/>
      <c r="N25" s="248" t="s">
        <v>139</v>
      </c>
      <c r="O25" s="248"/>
      <c r="P25" s="248"/>
      <c r="Q25" s="285"/>
      <c r="R25" s="285"/>
      <c r="S25" s="285"/>
      <c r="T25" s="285" t="s">
        <v>139</v>
      </c>
      <c r="U25" s="287"/>
      <c r="V25" s="287"/>
      <c r="W25" s="287"/>
      <c r="X25" s="285" t="s">
        <v>139</v>
      </c>
      <c r="Y25" s="285"/>
      <c r="Z25" s="287"/>
      <c r="AA25" s="287"/>
      <c r="AB25" s="286"/>
      <c r="AC25" s="288" t="s">
        <v>139</v>
      </c>
      <c r="AD25" s="286"/>
      <c r="AE25" s="286"/>
      <c r="AF25" s="286"/>
      <c r="AG25" s="286"/>
      <c r="AH25" s="288" t="s">
        <v>139</v>
      </c>
      <c r="AI25" s="288"/>
      <c r="AJ25" s="286"/>
      <c r="AK25" s="288" t="s">
        <v>139</v>
      </c>
      <c r="BS25" s="249" t="s">
        <v>214</v>
      </c>
      <c r="BV25" s="249" t="s">
        <v>213</v>
      </c>
    </row>
    <row r="26" spans="1:111" s="249" customFormat="1" x14ac:dyDescent="0.2">
      <c r="A26" s="246" t="s">
        <v>151</v>
      </c>
      <c r="B26" s="247" t="s">
        <v>153</v>
      </c>
      <c r="C26" s="247" t="s">
        <v>31</v>
      </c>
      <c r="D26" s="256" t="s">
        <v>143</v>
      </c>
      <c r="E26" s="264">
        <f t="array" ref="E26">IF(SUM(COUNTIF($G26:$ZZ26,{"y","Sa","Su"})),MAX(IF($G26:$ZZ26="y",$G$1:$ZZ$1,""), IF($G26:$ZZ26="Sa",$G$1:$ZZ$1,""),  IF($G26:$ZZ26="Su",$G$1:$ZZ$1,"")),"")</f>
        <v>42588</v>
      </c>
      <c r="F26" s="265">
        <f t="shared" ca="1" si="64"/>
        <v>1</v>
      </c>
      <c r="G26" s="248"/>
      <c r="H26" s="248"/>
      <c r="I26" s="248"/>
      <c r="J26" s="248"/>
      <c r="K26" s="248"/>
      <c r="L26" s="248"/>
      <c r="M26" s="248"/>
      <c r="N26" s="248"/>
      <c r="O26" s="248"/>
      <c r="P26" s="248"/>
      <c r="Q26" s="248"/>
      <c r="R26" s="248"/>
      <c r="S26" s="248"/>
      <c r="T26" s="248"/>
      <c r="AL26" s="290" t="s">
        <v>139</v>
      </c>
      <c r="AP26" s="294"/>
      <c r="AQ26" s="294"/>
      <c r="AR26" s="295" t="s">
        <v>139</v>
      </c>
      <c r="AS26" s="294"/>
      <c r="AT26" s="294"/>
      <c r="AU26" s="294"/>
      <c r="AV26" s="294"/>
      <c r="AW26" s="295" t="s">
        <v>139</v>
      </c>
      <c r="BF26" s="290" t="s">
        <v>214</v>
      </c>
      <c r="BG26" s="290"/>
      <c r="BI26" s="290" t="s">
        <v>214</v>
      </c>
      <c r="BL26" s="290" t="s">
        <v>213</v>
      </c>
      <c r="BM26" s="290"/>
      <c r="BP26" s="290" t="s">
        <v>214</v>
      </c>
      <c r="BU26" s="290" t="s">
        <v>214</v>
      </c>
      <c r="BX26" s="290"/>
      <c r="BZ26" s="249" t="s">
        <v>214</v>
      </c>
      <c r="CE26" s="290" t="s">
        <v>214</v>
      </c>
      <c r="CK26" s="290"/>
      <c r="CM26" s="328" t="s">
        <v>213</v>
      </c>
      <c r="CR26" s="290" t="s">
        <v>214</v>
      </c>
      <c r="CV26" s="290" t="s">
        <v>214</v>
      </c>
      <c r="DA26" s="290"/>
      <c r="DB26" s="290" t="s">
        <v>213</v>
      </c>
      <c r="DC26" s="290"/>
      <c r="DG26" s="290" t="s">
        <v>213</v>
      </c>
    </row>
    <row r="27" spans="1:111" s="249" customFormat="1" x14ac:dyDescent="0.2">
      <c r="A27" s="246" t="s">
        <v>146</v>
      </c>
      <c r="B27" s="247" t="s">
        <v>72</v>
      </c>
      <c r="C27" s="247" t="s">
        <v>31</v>
      </c>
      <c r="D27" s="255" t="s">
        <v>143</v>
      </c>
      <c r="E27" s="264">
        <f t="array" ref="E27">IF(SUM(COUNTIF($G27:$ZZ27,{"y","Sa","Su"})),MAX(IF($G27:$ZZ27="y",$G$1:$ZZ$1,""), IF($G27:$ZZ27="Sa",$G$1:$ZZ$1,""),  IF($G27:$ZZ27="Su",$G$1:$ZZ$1,"")),"")</f>
        <v>42588</v>
      </c>
      <c r="F27" s="265">
        <f t="shared" ca="1" si="64"/>
        <v>1</v>
      </c>
      <c r="G27" s="248"/>
      <c r="H27" s="248"/>
      <c r="I27" s="248"/>
      <c r="J27" s="248"/>
      <c r="K27" s="248"/>
      <c r="L27" s="248"/>
      <c r="M27" s="248"/>
      <c r="N27" s="248"/>
      <c r="O27" s="248"/>
      <c r="P27" s="248"/>
      <c r="Q27" s="285"/>
      <c r="R27" s="285"/>
      <c r="S27" s="285"/>
      <c r="T27" s="285"/>
      <c r="U27" s="286"/>
      <c r="V27" s="286"/>
      <c r="W27" s="286"/>
      <c r="X27" s="286"/>
      <c r="Y27" s="287"/>
      <c r="Z27" s="285" t="s">
        <v>139</v>
      </c>
      <c r="AA27" s="285"/>
      <c r="AB27" s="286"/>
      <c r="AC27" s="286"/>
      <c r="AD27" s="286"/>
      <c r="AE27" s="288" t="s">
        <v>139</v>
      </c>
      <c r="AF27" s="286"/>
      <c r="AG27" s="286"/>
      <c r="AH27" s="286"/>
      <c r="AI27" s="286"/>
      <c r="AJ27" s="288" t="s">
        <v>139</v>
      </c>
      <c r="AK27" s="286"/>
      <c r="AN27" s="290" t="s">
        <v>139</v>
      </c>
      <c r="AP27" s="294"/>
      <c r="AQ27" s="294"/>
      <c r="AR27" s="294"/>
      <c r="AS27" s="294"/>
      <c r="AT27" s="295" t="s">
        <v>139</v>
      </c>
      <c r="AU27" s="294"/>
      <c r="AV27" s="294"/>
      <c r="AW27" s="294"/>
      <c r="AZ27" s="290" t="s">
        <v>139</v>
      </c>
      <c r="BE27" s="290" t="s">
        <v>214</v>
      </c>
      <c r="BH27" s="290" t="s">
        <v>214</v>
      </c>
      <c r="BL27" s="249" t="s">
        <v>213</v>
      </c>
      <c r="BO27" s="290" t="s">
        <v>225</v>
      </c>
      <c r="BQ27" s="290" t="s">
        <v>214</v>
      </c>
      <c r="BS27" s="290"/>
      <c r="BV27" s="290" t="s">
        <v>214</v>
      </c>
      <c r="CA27" s="249" t="s">
        <v>214</v>
      </c>
      <c r="CF27" s="249" t="s">
        <v>214</v>
      </c>
      <c r="CJ27" s="290" t="s">
        <v>213</v>
      </c>
      <c r="CN27" s="290" t="s">
        <v>213</v>
      </c>
      <c r="CO27" s="290"/>
      <c r="CR27" s="290" t="s">
        <v>213</v>
      </c>
      <c r="CT27" s="290" t="s">
        <v>213</v>
      </c>
      <c r="CW27" s="290" t="s">
        <v>214</v>
      </c>
      <c r="DB27" s="290"/>
      <c r="DC27" s="290"/>
      <c r="DG27" s="290" t="s">
        <v>214</v>
      </c>
    </row>
    <row r="28" spans="1:111" s="249" customFormat="1" hidden="1" x14ac:dyDescent="0.2">
      <c r="A28" s="246" t="s">
        <v>37</v>
      </c>
      <c r="B28" s="247" t="s">
        <v>72</v>
      </c>
      <c r="C28" s="247" t="s">
        <v>39</v>
      </c>
      <c r="D28" s="255" t="s">
        <v>141</v>
      </c>
      <c r="E28" s="264">
        <f t="array" ref="E28">IF(SUM(COUNTIF($G28:$ZZ28,{"y","Sa","Su"})),MAX(IF($G28:$ZZ28="y",$G$1:$ZZ$1,""), IF($G28:$ZZ28="Sa",$G$1:$ZZ$1,""),  IF($G28:$ZZ28="Su",$G$1:$ZZ$1,"")),"")</f>
        <v>42315</v>
      </c>
      <c r="F28" s="265">
        <f t="shared" ca="1" si="64"/>
        <v>40</v>
      </c>
      <c r="G28" s="248"/>
      <c r="H28" s="248"/>
      <c r="I28" s="248" t="s">
        <v>139</v>
      </c>
      <c r="J28" s="248"/>
      <c r="K28" s="248"/>
      <c r="L28" s="248"/>
      <c r="M28" s="248" t="s">
        <v>139</v>
      </c>
      <c r="N28" s="248"/>
      <c r="O28" s="248"/>
      <c r="P28" s="248"/>
      <c r="Q28" s="285"/>
      <c r="R28" s="285" t="s">
        <v>139</v>
      </c>
      <c r="S28" s="285"/>
      <c r="T28" s="285"/>
      <c r="U28" s="286"/>
      <c r="V28" s="286"/>
      <c r="W28" s="286"/>
      <c r="X28" s="286"/>
      <c r="Y28" s="286"/>
      <c r="Z28" s="286"/>
      <c r="AA28" s="286"/>
      <c r="AB28" s="286"/>
      <c r="AC28" s="286"/>
      <c r="AD28" s="286"/>
      <c r="AE28" s="286"/>
      <c r="AF28" s="286"/>
      <c r="AG28" s="286"/>
      <c r="AH28" s="286"/>
      <c r="AI28" s="286"/>
      <c r="AJ28" s="286"/>
      <c r="AK28" s="286"/>
      <c r="BT28" s="249" t="s">
        <v>213</v>
      </c>
    </row>
    <row r="29" spans="1:111" s="249" customFormat="1" hidden="1" x14ac:dyDescent="0.2">
      <c r="A29" s="246" t="s">
        <v>76</v>
      </c>
      <c r="B29" s="247" t="s">
        <v>153</v>
      </c>
      <c r="C29" s="247" t="s">
        <v>164</v>
      </c>
      <c r="D29" s="255" t="s">
        <v>142</v>
      </c>
      <c r="E29" s="264">
        <f t="array" ref="E29">IF(SUM(COUNTIF($G29:$ZZ29,{"y","Sa","Su"})),MAX(IF($G29:$ZZ29="y",$G$1:$ZZ$1,""), IF($G29:$ZZ29="Sa",$G$1:$ZZ$1,""),  IF($G29:$ZZ29="Su",$G$1:$ZZ$1,"")),"")</f>
        <v>42336</v>
      </c>
      <c r="F29" s="265">
        <f t="shared" ca="1" si="64"/>
        <v>37</v>
      </c>
      <c r="G29" s="248"/>
      <c r="H29" s="248"/>
      <c r="I29" s="248"/>
      <c r="J29" s="248"/>
      <c r="K29" s="248"/>
      <c r="L29" s="248"/>
      <c r="M29" s="248"/>
      <c r="N29" s="248"/>
      <c r="O29" s="248"/>
      <c r="P29" s="248"/>
      <c r="Q29" s="285"/>
      <c r="R29" s="285"/>
      <c r="S29" s="285"/>
      <c r="T29" s="285"/>
      <c r="U29" s="286"/>
      <c r="V29" s="286"/>
      <c r="W29" s="286"/>
      <c r="X29" s="286"/>
      <c r="Y29" s="286"/>
      <c r="Z29" s="286"/>
      <c r="AA29" s="286"/>
      <c r="AB29" s="286"/>
      <c r="AC29" s="286"/>
      <c r="AD29" s="286"/>
      <c r="AE29" s="286"/>
      <c r="AF29" s="286"/>
      <c r="AG29" s="286"/>
      <c r="AH29" s="286"/>
      <c r="AI29" s="286"/>
      <c r="AJ29" s="286"/>
      <c r="AK29" s="286"/>
      <c r="BR29" s="249" t="s">
        <v>214</v>
      </c>
      <c r="BT29" s="249" t="s">
        <v>214</v>
      </c>
      <c r="BW29" s="249" t="s">
        <v>214</v>
      </c>
    </row>
    <row r="30" spans="1:111" s="249" customFormat="1" x14ac:dyDescent="0.2">
      <c r="A30" s="246" t="s">
        <v>8</v>
      </c>
      <c r="B30" s="247" t="s">
        <v>72</v>
      </c>
      <c r="C30" s="247" t="s">
        <v>31</v>
      </c>
      <c r="D30" s="255" t="s">
        <v>143</v>
      </c>
      <c r="E30" s="264">
        <f t="array" ref="E30">IF(SUM(COUNTIF($G30:$ZZ30,{"y","Sa","Su"})),MAX(IF($G30:$ZZ30="y",$G$1:$ZZ$1,""), IF($G30:$ZZ30="Sa",$G$1:$ZZ$1,""),  IF($G30:$ZZ30="Su",$G$1:$ZZ$1,"")),"")</f>
        <v>42581</v>
      </c>
      <c r="F30" s="265">
        <f t="shared" ca="1" si="64"/>
        <v>2</v>
      </c>
      <c r="G30" s="248"/>
      <c r="H30" s="248"/>
      <c r="I30" s="248"/>
      <c r="J30" s="248"/>
      <c r="K30" s="248" t="s">
        <v>139</v>
      </c>
      <c r="L30" s="248"/>
      <c r="M30" s="248"/>
      <c r="N30" s="248"/>
      <c r="O30" s="248"/>
      <c r="P30" s="248" t="s">
        <v>139</v>
      </c>
      <c r="Q30" s="285"/>
      <c r="R30" s="285"/>
      <c r="S30" s="285"/>
      <c r="T30" s="285"/>
      <c r="U30" s="287"/>
      <c r="V30" s="287"/>
      <c r="W30" s="287" t="s">
        <v>139</v>
      </c>
      <c r="X30" s="287"/>
      <c r="Y30" s="287"/>
      <c r="Z30" s="287"/>
      <c r="AA30" s="287"/>
      <c r="AB30" s="288" t="s">
        <v>139</v>
      </c>
      <c r="AC30" s="286"/>
      <c r="AD30" s="286"/>
      <c r="AE30" s="286"/>
      <c r="AF30" s="286"/>
      <c r="AG30" s="288" t="s">
        <v>139</v>
      </c>
      <c r="AH30" s="288"/>
      <c r="AI30" s="286"/>
      <c r="AJ30" s="286"/>
      <c r="AK30" s="288" t="s">
        <v>139</v>
      </c>
      <c r="AP30" s="294"/>
      <c r="AQ30" s="294"/>
      <c r="AR30" s="294"/>
      <c r="AS30" s="295" t="s">
        <v>139</v>
      </c>
      <c r="AT30" s="294"/>
      <c r="AU30" s="294"/>
      <c r="AV30" s="294"/>
      <c r="AW30" s="295"/>
      <c r="AZ30" s="290"/>
      <c r="BA30" s="290" t="s">
        <v>139</v>
      </c>
      <c r="BE30" s="290"/>
      <c r="BF30" s="290" t="s">
        <v>214</v>
      </c>
      <c r="BH30" s="290"/>
      <c r="BJ30" s="249" t="s">
        <v>213</v>
      </c>
      <c r="BM30" s="290" t="s">
        <v>214</v>
      </c>
      <c r="BP30" s="290"/>
      <c r="BQ30" s="290" t="s">
        <v>214</v>
      </c>
      <c r="BW30" s="290" t="s">
        <v>214</v>
      </c>
      <c r="CB30" s="290" t="s">
        <v>214</v>
      </c>
      <c r="CH30" s="290" t="s">
        <v>213</v>
      </c>
      <c r="CS30" s="290" t="s">
        <v>214</v>
      </c>
      <c r="CW30" s="290" t="s">
        <v>213</v>
      </c>
      <c r="DB30" s="290" t="s">
        <v>214</v>
      </c>
      <c r="DF30" s="290" t="s">
        <v>214</v>
      </c>
    </row>
    <row r="31" spans="1:111" s="249" customFormat="1" hidden="1" x14ac:dyDescent="0.2">
      <c r="A31" s="246" t="s">
        <v>101</v>
      </c>
      <c r="B31" s="247" t="s">
        <v>153</v>
      </c>
      <c r="C31" s="247" t="s">
        <v>31</v>
      </c>
      <c r="D31" s="255" t="s">
        <v>141</v>
      </c>
      <c r="E31" s="264">
        <f t="array" ref="E31">IF(SUM(COUNTIF($G31:$ZZ31,{"y","Sa","Su"})),MAX(IF($G31:$ZZ31="y",$G$1:$ZZ$1,""), IF($G31:$ZZ31="Sa",$G$1:$ZZ$1,""),  IF($G31:$ZZ31="Su",$G$1:$ZZ$1,"")),"")</f>
        <v>42315</v>
      </c>
      <c r="F31" s="265">
        <f t="shared" ca="1" si="64"/>
        <v>40</v>
      </c>
      <c r="G31" s="248" t="s">
        <v>139</v>
      </c>
      <c r="H31" s="248"/>
      <c r="I31" s="248"/>
      <c r="J31" s="248"/>
      <c r="K31" s="248" t="s">
        <v>139</v>
      </c>
      <c r="L31" s="248"/>
      <c r="M31" s="248"/>
      <c r="N31" s="248"/>
      <c r="O31" s="248" t="s">
        <v>139</v>
      </c>
      <c r="P31" s="248"/>
      <c r="Q31" s="285"/>
      <c r="R31" s="285" t="s">
        <v>139</v>
      </c>
      <c r="S31" s="285"/>
      <c r="T31" s="285"/>
      <c r="U31" s="287"/>
      <c r="V31" s="287" t="s">
        <v>139</v>
      </c>
      <c r="W31" s="287"/>
      <c r="X31" s="287"/>
      <c r="Y31" s="285"/>
      <c r="Z31" s="285"/>
      <c r="AA31" s="285" t="s">
        <v>139</v>
      </c>
      <c r="AB31" s="286"/>
      <c r="AC31" s="286"/>
      <c r="AD31" s="286"/>
      <c r="AE31" s="286"/>
      <c r="AF31" s="288" t="s">
        <v>139</v>
      </c>
      <c r="AG31" s="286"/>
      <c r="AH31" s="288"/>
      <c r="AI31" s="286"/>
      <c r="AJ31" s="288" t="s">
        <v>139</v>
      </c>
      <c r="AK31" s="286"/>
      <c r="AP31" s="295" t="s">
        <v>139</v>
      </c>
      <c r="AQ31" s="294"/>
      <c r="AR31" s="295"/>
      <c r="AS31" s="294"/>
      <c r="AT31" s="294" t="s">
        <v>139</v>
      </c>
      <c r="AU31" s="294"/>
      <c r="AV31" s="294"/>
      <c r="AW31" s="294"/>
      <c r="BR31" s="249" t="s">
        <v>214</v>
      </c>
      <c r="BT31" s="249" t="s">
        <v>214</v>
      </c>
    </row>
    <row r="32" spans="1:111" s="249" customFormat="1" hidden="1" x14ac:dyDescent="0.2">
      <c r="A32" s="246" t="s">
        <v>150</v>
      </c>
      <c r="B32" s="247" t="s">
        <v>118</v>
      </c>
      <c r="C32" s="247" t="s">
        <v>39</v>
      </c>
      <c r="D32" s="256" t="s">
        <v>137</v>
      </c>
      <c r="E32" s="264">
        <f t="array" ref="E32">IF(SUM(COUNTIF($G32:$ZZ32,{"y","Sa","Su"})),MAX(IF($G32:$ZZ32="y",$G$1:$ZZ$1,""), IF($G32:$ZZ32="Sa",$G$1:$ZZ$1,""),  IF($G32:$ZZ32="Su",$G$1:$ZZ$1,"")),"")</f>
        <v>42280</v>
      </c>
      <c r="F32" s="265" t="str">
        <f t="shared" ca="1" si="64"/>
        <v>Static shift</v>
      </c>
      <c r="G32" s="248"/>
      <c r="H32" s="248"/>
      <c r="I32" s="248"/>
      <c r="J32" s="248"/>
      <c r="K32" s="248"/>
      <c r="L32" s="248"/>
      <c r="M32" s="248"/>
      <c r="N32" s="248"/>
      <c r="O32" s="248"/>
      <c r="P32" s="248"/>
      <c r="Q32" s="248"/>
      <c r="R32" s="248"/>
      <c r="S32" s="248"/>
      <c r="T32" s="248"/>
      <c r="AL32" s="290" t="s">
        <v>139</v>
      </c>
      <c r="AM32" s="290" t="s">
        <v>162</v>
      </c>
      <c r="AP32" s="294"/>
      <c r="AQ32" s="294"/>
      <c r="AR32" s="294"/>
      <c r="AS32" s="294"/>
      <c r="AT32" s="295" t="s">
        <v>139</v>
      </c>
      <c r="AU32" s="294"/>
      <c r="AV32" s="294"/>
      <c r="AW32" s="294"/>
      <c r="AZ32" s="290" t="s">
        <v>139</v>
      </c>
      <c r="BE32" s="290"/>
      <c r="BH32" s="290"/>
      <c r="BI32" s="290" t="s">
        <v>213</v>
      </c>
      <c r="BK32" s="290" t="s">
        <v>213</v>
      </c>
      <c r="BL32" s="290"/>
      <c r="BO32" s="290" t="s">
        <v>214</v>
      </c>
      <c r="CU32" s="290" t="s">
        <v>225</v>
      </c>
    </row>
    <row r="33" spans="1:111" s="249" customFormat="1" x14ac:dyDescent="0.2">
      <c r="A33" s="252" t="s">
        <v>270</v>
      </c>
      <c r="B33" s="247" t="s">
        <v>118</v>
      </c>
      <c r="C33" s="247" t="s">
        <v>31</v>
      </c>
      <c r="D33" s="256" t="s">
        <v>143</v>
      </c>
      <c r="E33" s="264">
        <f t="array" ref="E33">IF(SUM(COUNTIF($G33:$ZZ33,{"y","Sa","Su"})),MAX(IF($G33:$ZZ33="y",$G$1:$ZZ$1,""), IF($G33:$ZZ33="Sa",$G$1:$ZZ$1,""),  IF($G33:$ZZ33="Su",$G$1:$ZZ$1,"")),"")</f>
        <v>42560</v>
      </c>
      <c r="F33" s="265">
        <f t="shared" ca="1" si="64"/>
        <v>5</v>
      </c>
      <c r="G33" s="248"/>
      <c r="H33" s="248"/>
      <c r="I33" s="248"/>
      <c r="J33" s="248"/>
      <c r="K33" s="248"/>
      <c r="L33" s="248"/>
      <c r="M33" s="248"/>
      <c r="N33" s="248"/>
      <c r="O33" s="248"/>
      <c r="P33" s="248"/>
      <c r="Q33" s="248"/>
      <c r="R33" s="248"/>
      <c r="S33" s="248"/>
      <c r="T33" s="248"/>
      <c r="AP33" s="294"/>
      <c r="AQ33" s="294"/>
      <c r="AR33" s="294"/>
      <c r="AS33" s="294"/>
      <c r="BL33" s="290" t="s">
        <v>214</v>
      </c>
      <c r="BO33" s="290" t="s">
        <v>213</v>
      </c>
      <c r="BR33" s="290" t="s">
        <v>214</v>
      </c>
      <c r="BT33" s="290" t="s">
        <v>214</v>
      </c>
      <c r="BW33" s="290" t="s">
        <v>214</v>
      </c>
      <c r="CA33" s="249" t="s">
        <v>214</v>
      </c>
      <c r="CG33" s="249" t="s">
        <v>213</v>
      </c>
      <c r="CK33" s="290"/>
      <c r="CL33" s="328" t="s">
        <v>214</v>
      </c>
      <c r="CQ33" s="290"/>
      <c r="CR33" s="290" t="s">
        <v>214</v>
      </c>
      <c r="CS33" s="290" t="s">
        <v>225</v>
      </c>
      <c r="CW33" s="290" t="s">
        <v>213</v>
      </c>
      <c r="DC33" s="290" t="s">
        <v>213</v>
      </c>
    </row>
    <row r="34" spans="1:111" s="249" customFormat="1" x14ac:dyDescent="0.2">
      <c r="A34" s="246" t="s">
        <v>229</v>
      </c>
      <c r="B34" s="247" t="s">
        <v>210</v>
      </c>
      <c r="C34" s="247" t="s">
        <v>39</v>
      </c>
      <c r="D34" s="256" t="s">
        <v>143</v>
      </c>
      <c r="E34" s="264">
        <f t="array" ref="E34">IF(SUM(COUNTIF($G34:$ZZ34,{"y","Sa","Su"})),MAX(IF($G34:$ZZ34="y",$G$1:$ZZ$1,""), IF($G34:$ZZ34="Sa",$G$1:$ZZ$1,""),  IF($G34:$ZZ34="Su",$G$1:$ZZ$1,"")),"")</f>
        <v>42567</v>
      </c>
      <c r="F34" s="265">
        <f t="shared" ca="1" si="64"/>
        <v>4</v>
      </c>
      <c r="G34" s="248"/>
      <c r="H34" s="248"/>
      <c r="I34" s="248"/>
      <c r="J34" s="248"/>
      <c r="K34" s="248"/>
      <c r="L34" s="248"/>
      <c r="M34" s="248"/>
      <c r="N34" s="248"/>
      <c r="O34" s="248"/>
      <c r="P34" s="248"/>
      <c r="Q34" s="248"/>
      <c r="R34" s="248"/>
      <c r="S34" s="248"/>
      <c r="T34" s="248"/>
      <c r="AM34" s="290"/>
      <c r="AP34" s="294"/>
      <c r="AQ34" s="294"/>
      <c r="AR34" s="294"/>
      <c r="AS34" s="294"/>
      <c r="AT34" s="295"/>
      <c r="AU34" s="294"/>
      <c r="AV34" s="295"/>
      <c r="AW34" s="294"/>
      <c r="BB34" s="290"/>
      <c r="CF34" s="290" t="s">
        <v>213</v>
      </c>
      <c r="CJ34" s="290" t="s">
        <v>214</v>
      </c>
      <c r="CO34" s="290" t="s">
        <v>214</v>
      </c>
      <c r="CS34" s="290" t="s">
        <v>213</v>
      </c>
      <c r="CW34" s="290" t="s">
        <v>214</v>
      </c>
      <c r="DB34" s="290"/>
      <c r="DD34" s="290" t="s">
        <v>214</v>
      </c>
    </row>
    <row r="35" spans="1:111" s="249" customFormat="1" hidden="1" x14ac:dyDescent="0.2">
      <c r="A35" s="246" t="s">
        <v>126</v>
      </c>
      <c r="B35" s="247" t="s">
        <v>210</v>
      </c>
      <c r="C35" s="247" t="s">
        <v>30</v>
      </c>
      <c r="D35" s="255" t="s">
        <v>142</v>
      </c>
      <c r="E35" s="264">
        <f t="array" ref="E35">IF(SUM(COUNTIF($G35:$ZZ35,{"y","Sa","Su"})),MAX(IF($G35:$ZZ35="y",$G$1:$ZZ$1,""), IF($G35:$ZZ35="Sa",$G$1:$ZZ$1,""),  IF($G35:$ZZ35="Su",$G$1:$ZZ$1,"")),"")</f>
        <v>42462</v>
      </c>
      <c r="F35" s="265">
        <f t="shared" ca="1" si="64"/>
        <v>19</v>
      </c>
      <c r="G35" s="248"/>
      <c r="H35" s="248"/>
      <c r="I35" s="248"/>
      <c r="J35" s="248"/>
      <c r="K35" s="248"/>
      <c r="L35" s="248"/>
      <c r="M35" s="248" t="s">
        <v>139</v>
      </c>
      <c r="N35" s="248"/>
      <c r="O35" s="248"/>
      <c r="P35" s="248"/>
      <c r="Q35" s="285"/>
      <c r="R35" s="285"/>
      <c r="S35" s="285" t="s">
        <v>139</v>
      </c>
      <c r="T35" s="285"/>
      <c r="U35" s="287"/>
      <c r="V35" s="287"/>
      <c r="W35" s="287"/>
      <c r="X35" s="285" t="s">
        <v>139</v>
      </c>
      <c r="Y35" s="285"/>
      <c r="Z35" s="287"/>
      <c r="AA35" s="287"/>
      <c r="AB35" s="286"/>
      <c r="AC35" s="288" t="s">
        <v>139</v>
      </c>
      <c r="AD35" s="286"/>
      <c r="AE35" s="286"/>
      <c r="AF35" s="286"/>
      <c r="AG35" s="286"/>
      <c r="AH35" s="286"/>
      <c r="AI35" s="288" t="s">
        <v>139</v>
      </c>
      <c r="AJ35" s="286"/>
      <c r="AK35" s="286"/>
      <c r="AN35" s="290" t="s">
        <v>139</v>
      </c>
      <c r="AP35" s="294"/>
      <c r="AQ35" s="294"/>
      <c r="AR35" s="294"/>
      <c r="AS35" s="294"/>
      <c r="AT35" s="294"/>
      <c r="AU35" s="295" t="s">
        <v>139</v>
      </c>
      <c r="AV35" s="294"/>
      <c r="AW35" s="294"/>
      <c r="BA35" s="290" t="s">
        <v>139</v>
      </c>
      <c r="BD35" s="290" t="s">
        <v>139</v>
      </c>
      <c r="BF35" s="290" t="s">
        <v>213</v>
      </c>
      <c r="BH35" s="290"/>
      <c r="BI35" s="290"/>
      <c r="BM35" s="290" t="s">
        <v>214</v>
      </c>
      <c r="BP35" s="290"/>
      <c r="BT35" s="290" t="s">
        <v>214</v>
      </c>
      <c r="BX35" s="290" t="s">
        <v>213</v>
      </c>
      <c r="CB35" s="290" t="s">
        <v>214</v>
      </c>
      <c r="CI35" s="290" t="s">
        <v>214</v>
      </c>
      <c r="CO35" s="290" t="s">
        <v>214</v>
      </c>
    </row>
    <row r="36" spans="1:111" s="249" customFormat="1" x14ac:dyDescent="0.2">
      <c r="A36" s="252" t="s">
        <v>154</v>
      </c>
      <c r="B36" s="247" t="s">
        <v>220</v>
      </c>
      <c r="C36" s="247" t="s">
        <v>39</v>
      </c>
      <c r="D36" s="256" t="s">
        <v>143</v>
      </c>
      <c r="E36" s="264">
        <f t="array" ref="E36">IF(SUM(COUNTIF($G36:$ZZ36,{"y","Sa","Su"})),MAX(IF($G36:$ZZ36="y",$G$1:$ZZ$1,""), IF($G36:$ZZ36="Sa",$G$1:$ZZ$1,""),  IF($G36:$ZZ36="Su",$G$1:$ZZ$1,"")),"")</f>
        <v>42560</v>
      </c>
      <c r="F36" s="265">
        <f t="shared" ca="1" si="64"/>
        <v>5</v>
      </c>
      <c r="G36" s="248"/>
      <c r="H36" s="248"/>
      <c r="I36" s="248"/>
      <c r="J36" s="248"/>
      <c r="K36" s="248"/>
      <c r="L36" s="248"/>
      <c r="M36" s="248"/>
      <c r="N36" s="248"/>
      <c r="O36" s="248"/>
      <c r="P36" s="248"/>
      <c r="Q36" s="285"/>
      <c r="R36" s="285"/>
      <c r="S36" s="285"/>
      <c r="T36" s="285"/>
      <c r="U36" s="286"/>
      <c r="V36" s="286"/>
      <c r="W36" s="286"/>
      <c r="X36" s="286"/>
      <c r="Y36" s="287"/>
      <c r="Z36" s="287"/>
      <c r="AA36" s="287"/>
      <c r="AB36" s="286"/>
      <c r="AC36" s="286"/>
      <c r="AD36" s="286"/>
      <c r="AE36" s="286"/>
      <c r="AF36" s="286"/>
      <c r="AG36" s="286"/>
      <c r="AH36" s="286"/>
      <c r="AI36" s="286"/>
      <c r="AJ36" s="286"/>
      <c r="AK36" s="286"/>
      <c r="BD36" s="290" t="s">
        <v>139</v>
      </c>
      <c r="BF36" s="290"/>
      <c r="BH36" s="290"/>
      <c r="BJ36" s="249" t="s">
        <v>214</v>
      </c>
      <c r="BM36" s="290" t="s">
        <v>213</v>
      </c>
      <c r="BP36" s="290" t="s">
        <v>214</v>
      </c>
      <c r="BQ36" s="290" t="s">
        <v>214</v>
      </c>
      <c r="BU36" s="290" t="s">
        <v>214</v>
      </c>
      <c r="BX36" s="290" t="s">
        <v>214</v>
      </c>
      <c r="CC36" s="290" t="s">
        <v>213</v>
      </c>
      <c r="CH36" s="290" t="s">
        <v>214</v>
      </c>
      <c r="CM36" s="328" t="s">
        <v>214</v>
      </c>
      <c r="CR36" s="290"/>
      <c r="CS36" s="290" t="s">
        <v>213</v>
      </c>
      <c r="CW36" s="290" t="s">
        <v>213</v>
      </c>
      <c r="DC36" s="290" t="s">
        <v>214</v>
      </c>
      <c r="DG36" s="290"/>
    </row>
    <row r="37" spans="1:111" s="249" customFormat="1" x14ac:dyDescent="0.2">
      <c r="A37" s="246" t="s">
        <v>117</v>
      </c>
      <c r="B37" s="247" t="s">
        <v>153</v>
      </c>
      <c r="C37" s="247" t="s">
        <v>39</v>
      </c>
      <c r="D37" s="255" t="s">
        <v>143</v>
      </c>
      <c r="E37" s="264">
        <f t="array" ref="E37">IF(SUM(COUNTIF($G37:$ZZ37,{"y","Sa","Su"})),MAX(IF($G37:$ZZ37="y",$G$1:$ZZ$1,""), IF($G37:$ZZ37="Sa",$G$1:$ZZ$1,""),  IF($G37:$ZZ37="Su",$G$1:$ZZ$1,"")),"")</f>
        <v>42567</v>
      </c>
      <c r="F37" s="265">
        <f t="shared" ca="1" si="64"/>
        <v>4</v>
      </c>
      <c r="G37" s="248"/>
      <c r="H37" s="248"/>
      <c r="I37" s="248"/>
      <c r="J37" s="248" t="s">
        <v>139</v>
      </c>
      <c r="K37" s="248"/>
      <c r="L37" s="248"/>
      <c r="M37" s="248"/>
      <c r="N37" s="248"/>
      <c r="O37" s="248" t="s">
        <v>139</v>
      </c>
      <c r="P37" s="248"/>
      <c r="Q37" s="285"/>
      <c r="R37" s="285"/>
      <c r="S37" s="285"/>
      <c r="T37" s="285"/>
      <c r="U37" s="285"/>
      <c r="V37" s="287"/>
      <c r="W37" s="287"/>
      <c r="X37" s="285" t="s">
        <v>139</v>
      </c>
      <c r="Y37" s="287"/>
      <c r="Z37" s="287"/>
      <c r="AA37" s="287"/>
      <c r="AB37" s="286"/>
      <c r="AC37" s="288" t="s">
        <v>139</v>
      </c>
      <c r="AD37" s="286"/>
      <c r="AE37" s="286"/>
      <c r="AF37" s="286"/>
      <c r="AG37" s="286"/>
      <c r="AH37" s="286"/>
      <c r="AI37" s="288" t="s">
        <v>139</v>
      </c>
      <c r="AJ37" s="286"/>
      <c r="AK37" s="286"/>
      <c r="AM37" s="290" t="s">
        <v>139</v>
      </c>
      <c r="AP37" s="294"/>
      <c r="AQ37" s="294"/>
      <c r="AR37" s="294"/>
      <c r="AS37" s="294"/>
      <c r="AT37" s="295"/>
      <c r="AU37" s="294"/>
      <c r="AV37" s="294"/>
      <c r="AW37" s="295" t="s">
        <v>139</v>
      </c>
      <c r="BH37" s="290" t="s">
        <v>213</v>
      </c>
      <c r="BI37" s="290"/>
      <c r="BK37" s="249" t="s">
        <v>214</v>
      </c>
      <c r="BO37" s="290" t="s">
        <v>214</v>
      </c>
      <c r="BT37" s="290" t="s">
        <v>214</v>
      </c>
      <c r="BX37" s="290" t="s">
        <v>214</v>
      </c>
      <c r="CC37" s="290" t="s">
        <v>214</v>
      </c>
      <c r="CH37" s="290"/>
      <c r="CI37" s="290" t="s">
        <v>214</v>
      </c>
      <c r="CN37" s="290" t="s">
        <v>214</v>
      </c>
      <c r="CR37" s="290" t="s">
        <v>214</v>
      </c>
      <c r="CS37" s="290"/>
      <c r="CW37" s="290" t="s">
        <v>214</v>
      </c>
      <c r="DC37" s="290"/>
      <c r="DD37" s="290" t="s">
        <v>214</v>
      </c>
    </row>
    <row r="38" spans="1:111" s="249" customFormat="1" x14ac:dyDescent="0.2">
      <c r="A38" s="246" t="s">
        <v>256</v>
      </c>
      <c r="B38" s="247" t="s">
        <v>72</v>
      </c>
      <c r="C38" s="247" t="s">
        <v>31</v>
      </c>
      <c r="D38" s="255" t="s">
        <v>143</v>
      </c>
      <c r="E38" s="264">
        <f t="array" ref="E38">IF(SUM(COUNTIF($G38:$ZZ38,{"y","Sa","Su"})),MAX(IF($G38:$ZZ38="y",$G$1:$ZZ$1,""), IF($G38:$ZZ38="Sa",$G$1:$ZZ$1,""),  IF($G38:$ZZ38="Su",$G$1:$ZZ$1,"")),"")</f>
        <v>42588</v>
      </c>
      <c r="F38" s="265">
        <f t="shared" ref="F38:F69" ca="1" si="65">IF(D38="Static shift", "Static shift", IF(E38&lt;&gt;"", INT((TODAY()-E38)/7),"No past shifts"))</f>
        <v>1</v>
      </c>
      <c r="G38" s="248"/>
      <c r="H38" s="248"/>
      <c r="I38" s="248"/>
      <c r="J38" s="248"/>
      <c r="K38" s="248"/>
      <c r="L38" s="248"/>
      <c r="M38" s="248"/>
      <c r="N38" s="248" t="s">
        <v>139</v>
      </c>
      <c r="O38" s="248"/>
      <c r="P38" s="248"/>
      <c r="Q38" s="285"/>
      <c r="R38" s="285"/>
      <c r="S38" s="285"/>
      <c r="T38" s="285"/>
      <c r="U38" s="285" t="s">
        <v>139</v>
      </c>
      <c r="V38" s="287"/>
      <c r="W38" s="287"/>
      <c r="X38" s="287"/>
      <c r="Y38" s="285"/>
      <c r="Z38" s="285" t="s">
        <v>139</v>
      </c>
      <c r="AA38" s="287"/>
      <c r="AB38" s="286"/>
      <c r="AC38" s="286"/>
      <c r="AD38" s="286"/>
      <c r="AE38" s="286"/>
      <c r="AF38" s="286"/>
      <c r="AG38" s="286"/>
      <c r="AH38" s="288" t="s">
        <v>139</v>
      </c>
      <c r="AI38" s="286"/>
      <c r="AJ38" s="288" t="s">
        <v>139</v>
      </c>
      <c r="AK38" s="286"/>
      <c r="AP38" s="294"/>
      <c r="AQ38" s="294"/>
      <c r="AR38" s="295" t="s">
        <v>139</v>
      </c>
      <c r="AS38" s="294"/>
      <c r="AT38" s="294"/>
      <c r="AU38" s="294"/>
      <c r="AV38" s="294"/>
      <c r="AW38" s="294"/>
      <c r="AX38" s="290" t="s">
        <v>139</v>
      </c>
      <c r="AY38" s="290"/>
      <c r="BB38" s="290" t="s">
        <v>139</v>
      </c>
      <c r="BG38" s="290"/>
      <c r="BJ38" s="290" t="s">
        <v>214</v>
      </c>
      <c r="BM38" s="290"/>
      <c r="BN38" s="290" t="s">
        <v>214</v>
      </c>
      <c r="BO38" s="290" t="s">
        <v>225</v>
      </c>
      <c r="BS38" s="290" t="s">
        <v>214</v>
      </c>
      <c r="BW38" s="290" t="s">
        <v>213</v>
      </c>
      <c r="CB38" s="290"/>
      <c r="CC38" s="290" t="s">
        <v>214</v>
      </c>
      <c r="CG38" s="290" t="s">
        <v>225</v>
      </c>
      <c r="CH38" s="290" t="s">
        <v>213</v>
      </c>
      <c r="CK38" s="290" t="s">
        <v>213</v>
      </c>
      <c r="CL38" s="328"/>
      <c r="CM38" s="328"/>
      <c r="CN38" s="290" t="s">
        <v>225</v>
      </c>
      <c r="CQ38" s="290" t="s">
        <v>213</v>
      </c>
      <c r="CU38" s="290" t="s">
        <v>225</v>
      </c>
      <c r="CV38" s="290" t="s">
        <v>225</v>
      </c>
      <c r="CX38" s="290" t="s">
        <v>214</v>
      </c>
      <c r="CZ38" s="290" t="s">
        <v>225</v>
      </c>
      <c r="DD38" s="290" t="s">
        <v>214</v>
      </c>
      <c r="DE38" s="290" t="s">
        <v>213</v>
      </c>
      <c r="DG38" s="290" t="s">
        <v>214</v>
      </c>
    </row>
    <row r="39" spans="1:111" s="249" customFormat="1" hidden="1" x14ac:dyDescent="0.2">
      <c r="A39" s="246" t="s">
        <v>28</v>
      </c>
      <c r="B39" s="247" t="s">
        <v>153</v>
      </c>
      <c r="C39" s="247" t="s">
        <v>164</v>
      </c>
      <c r="D39" s="255" t="s">
        <v>142</v>
      </c>
      <c r="E39" s="264">
        <f t="array" ref="E39">IF(SUM(COUNTIF($G39:$ZZ39,{"y","Sa","Su"})),MAX(IF($G39:$ZZ39="y",$G$1:$ZZ$1,""), IF($G39:$ZZ39="Sa",$G$1:$ZZ$1,""),  IF($G39:$ZZ39="Su",$G$1:$ZZ$1,"")),"")</f>
        <v>42000</v>
      </c>
      <c r="F39" s="265">
        <f t="shared" ca="1" si="65"/>
        <v>85</v>
      </c>
      <c r="G39" s="248"/>
      <c r="H39" s="248"/>
      <c r="I39" s="248" t="s">
        <v>139</v>
      </c>
      <c r="J39" s="248"/>
      <c r="K39" s="248"/>
      <c r="L39" s="248"/>
      <c r="M39" s="248"/>
      <c r="N39" s="248"/>
      <c r="O39" s="248" t="s">
        <v>139</v>
      </c>
      <c r="P39" s="248"/>
      <c r="Q39" s="285"/>
      <c r="R39" s="285" t="s">
        <v>139</v>
      </c>
      <c r="S39" s="285"/>
      <c r="T39" s="285"/>
      <c r="U39" s="287"/>
      <c r="V39" s="287"/>
      <c r="W39" s="285" t="s">
        <v>139</v>
      </c>
      <c r="X39" s="287"/>
      <c r="Y39" s="287"/>
      <c r="Z39" s="287"/>
      <c r="AA39" s="285" t="s">
        <v>139</v>
      </c>
      <c r="AB39" s="286"/>
      <c r="AC39" s="286"/>
      <c r="AD39" s="286"/>
      <c r="AE39" s="286"/>
      <c r="AF39" s="286"/>
      <c r="AG39" s="286"/>
      <c r="AH39" s="286"/>
      <c r="AI39" s="286"/>
      <c r="AJ39" s="286"/>
      <c r="AK39" s="286"/>
    </row>
    <row r="40" spans="1:111" s="249" customFormat="1" hidden="1" x14ac:dyDescent="0.2">
      <c r="A40" s="246" t="s">
        <v>112</v>
      </c>
      <c r="B40" s="247" t="s">
        <v>210</v>
      </c>
      <c r="C40" s="247" t="s">
        <v>39</v>
      </c>
      <c r="D40" s="255" t="s">
        <v>137</v>
      </c>
      <c r="E40" s="264">
        <f t="array" ref="E40">IF(SUM(COUNTIF($G40:$ZZ40,{"y","Sa","Su"})),MAX(IF($G40:$ZZ40="y",$G$1:$ZZ$1,""), IF($G40:$ZZ40="Sa",$G$1:$ZZ$1,""),  IF($G40:$ZZ40="Su",$G$1:$ZZ$1,"")),"")</f>
        <v>42336</v>
      </c>
      <c r="F40" s="265" t="str">
        <f t="shared" ca="1" si="65"/>
        <v>Static shift</v>
      </c>
      <c r="G40" s="248"/>
      <c r="H40" s="248"/>
      <c r="I40" s="248"/>
      <c r="J40" s="248"/>
      <c r="K40" s="248"/>
      <c r="L40" s="248"/>
      <c r="M40" s="248" t="s">
        <v>139</v>
      </c>
      <c r="N40" s="248"/>
      <c r="O40" s="248"/>
      <c r="P40" s="248"/>
      <c r="Q40" s="285"/>
      <c r="R40" s="285"/>
      <c r="S40" s="285" t="s">
        <v>139</v>
      </c>
      <c r="T40" s="285"/>
      <c r="U40" s="287"/>
      <c r="V40" s="287"/>
      <c r="W40" s="287"/>
      <c r="X40" s="285" t="s">
        <v>139</v>
      </c>
      <c r="Y40" s="287"/>
      <c r="Z40" s="287"/>
      <c r="AA40" s="287"/>
      <c r="AB40" s="286"/>
      <c r="AC40" s="288" t="s">
        <v>139</v>
      </c>
      <c r="AD40" s="286"/>
      <c r="AE40" s="286"/>
      <c r="AF40" s="286"/>
      <c r="AG40" s="286"/>
      <c r="AH40" s="286"/>
      <c r="AI40" s="288" t="s">
        <v>139</v>
      </c>
      <c r="AJ40" s="286"/>
      <c r="AK40" s="286"/>
      <c r="AM40" s="290" t="s">
        <v>139</v>
      </c>
      <c r="AP40" s="294"/>
      <c r="AQ40" s="294"/>
      <c r="AR40" s="294"/>
      <c r="AS40" s="294"/>
      <c r="AT40" s="294"/>
      <c r="AU40" s="294"/>
      <c r="AV40" s="294"/>
      <c r="AW40" s="294"/>
      <c r="BE40" s="290"/>
      <c r="BF40" s="290" t="s">
        <v>214</v>
      </c>
      <c r="BH40" s="290"/>
      <c r="BS40" s="249" t="s">
        <v>214</v>
      </c>
      <c r="BW40" s="249" t="s">
        <v>213</v>
      </c>
    </row>
    <row r="41" spans="1:111" s="249" customFormat="1" x14ac:dyDescent="0.2">
      <c r="A41" s="246" t="s">
        <v>258</v>
      </c>
      <c r="B41" s="247" t="s">
        <v>118</v>
      </c>
      <c r="C41" s="247" t="s">
        <v>39</v>
      </c>
      <c r="D41" s="255" t="s">
        <v>143</v>
      </c>
      <c r="E41" s="264">
        <f t="array" ref="E41">IF(SUM(COUNTIF($G41:$ZZ41,{"y","Sa","Su"})),MAX(IF($G41:$ZZ41="y",$G$1:$ZZ$1,""), IF($G41:$ZZ41="Sa",$G$1:$ZZ$1,""),  IF($G41:$ZZ41="Su",$G$1:$ZZ$1,"")),"")</f>
        <v>42588</v>
      </c>
      <c r="F41" s="265">
        <f t="shared" ca="1" si="65"/>
        <v>1</v>
      </c>
      <c r="G41" s="248"/>
      <c r="H41" s="248"/>
      <c r="I41" s="248"/>
      <c r="J41" s="248"/>
      <c r="K41" s="248"/>
      <c r="L41" s="248"/>
      <c r="M41" s="248" t="s">
        <v>139</v>
      </c>
      <c r="N41" s="248"/>
      <c r="O41" s="248"/>
      <c r="P41" s="248"/>
      <c r="Q41" s="285"/>
      <c r="R41" s="285"/>
      <c r="S41" s="285" t="s">
        <v>139</v>
      </c>
      <c r="T41" s="285"/>
      <c r="U41" s="287"/>
      <c r="V41" s="287"/>
      <c r="W41" s="287"/>
      <c r="X41" s="285"/>
      <c r="Y41" s="285" t="s">
        <v>139</v>
      </c>
      <c r="Z41" s="287"/>
      <c r="AA41" s="287"/>
      <c r="AB41" s="286"/>
      <c r="AC41" s="286"/>
      <c r="AD41" s="288" t="s">
        <v>139</v>
      </c>
      <c r="AE41" s="286"/>
      <c r="AF41" s="286"/>
      <c r="AG41" s="286"/>
      <c r="AH41" s="288"/>
      <c r="AI41" s="288" t="s">
        <v>139</v>
      </c>
      <c r="AJ41" s="286"/>
      <c r="AK41" s="286"/>
      <c r="AN41" s="290" t="s">
        <v>139</v>
      </c>
      <c r="AP41" s="294"/>
      <c r="AQ41" s="294"/>
      <c r="AR41" s="294"/>
      <c r="AS41" s="295" t="s">
        <v>139</v>
      </c>
      <c r="AT41" s="294"/>
      <c r="AU41" s="294"/>
      <c r="AV41" s="294"/>
      <c r="AW41" s="294"/>
      <c r="AY41" s="290" t="s">
        <v>139</v>
      </c>
      <c r="BB41" s="290" t="s">
        <v>139</v>
      </c>
      <c r="BD41" s="290" t="s">
        <v>139</v>
      </c>
      <c r="BF41" s="290"/>
      <c r="BG41" s="290" t="s">
        <v>213</v>
      </c>
      <c r="BJ41" s="249" t="s">
        <v>213</v>
      </c>
      <c r="BN41" s="290" t="s">
        <v>213</v>
      </c>
      <c r="BS41" s="290" t="s">
        <v>214</v>
      </c>
      <c r="BW41" s="290" t="s">
        <v>214</v>
      </c>
      <c r="CA41" s="249" t="s">
        <v>213</v>
      </c>
      <c r="CG41" s="249" t="s">
        <v>214</v>
      </c>
      <c r="CL41" s="328"/>
      <c r="CM41" s="328" t="s">
        <v>213</v>
      </c>
      <c r="CP41" s="290"/>
      <c r="CR41" s="290" t="s">
        <v>214</v>
      </c>
      <c r="CS41" s="290" t="s">
        <v>225</v>
      </c>
      <c r="CX41" s="290" t="s">
        <v>213</v>
      </c>
      <c r="CY41" s="290" t="s">
        <v>225</v>
      </c>
      <c r="DC41" s="290" t="s">
        <v>225</v>
      </c>
      <c r="DG41" s="290" t="s">
        <v>214</v>
      </c>
    </row>
    <row r="42" spans="1:111" s="249" customFormat="1" hidden="1" x14ac:dyDescent="0.2">
      <c r="A42" s="246" t="s">
        <v>114</v>
      </c>
      <c r="B42" s="247" t="s">
        <v>118</v>
      </c>
      <c r="C42" s="247" t="s">
        <v>39</v>
      </c>
      <c r="D42" s="255" t="s">
        <v>141</v>
      </c>
      <c r="E42" s="264">
        <f t="array" ref="E42">IF(SUM(COUNTIF($G42:$ZZ42,{"y","Sa","Su"})),MAX(IF($G42:$ZZ42="y",$G$1:$ZZ$1,""), IF($G42:$ZZ42="Sa",$G$1:$ZZ$1,""),  IF($G42:$ZZ42="Su",$G$1:$ZZ$1,"")),"")</f>
        <v>42273</v>
      </c>
      <c r="F42" s="265">
        <f t="shared" ca="1" si="65"/>
        <v>46</v>
      </c>
      <c r="G42" s="248"/>
      <c r="H42" s="248" t="s">
        <v>139</v>
      </c>
      <c r="I42" s="248"/>
      <c r="J42" s="248"/>
      <c r="K42" s="248"/>
      <c r="L42" s="248" t="s">
        <v>139</v>
      </c>
      <c r="M42" s="248"/>
      <c r="N42" s="248"/>
      <c r="O42" s="248"/>
      <c r="P42" s="248"/>
      <c r="Q42" s="285" t="s">
        <v>139</v>
      </c>
      <c r="R42" s="285"/>
      <c r="S42" s="285"/>
      <c r="T42" s="285"/>
      <c r="U42" s="287"/>
      <c r="V42" s="287" t="s">
        <v>139</v>
      </c>
      <c r="W42" s="287"/>
      <c r="X42" s="287"/>
      <c r="Y42" s="285"/>
      <c r="Z42" s="285"/>
      <c r="AA42" s="285" t="s">
        <v>139</v>
      </c>
      <c r="AB42" s="286"/>
      <c r="AC42" s="286"/>
      <c r="AD42" s="286"/>
      <c r="AE42" s="286"/>
      <c r="AF42" s="288" t="s">
        <v>139</v>
      </c>
      <c r="AG42" s="286"/>
      <c r="AH42" s="286"/>
      <c r="AI42" s="286"/>
      <c r="AJ42" s="288" t="s">
        <v>139</v>
      </c>
      <c r="AK42" s="286"/>
      <c r="AO42" s="290" t="s">
        <v>139</v>
      </c>
      <c r="AP42" s="294"/>
      <c r="AQ42" s="294"/>
      <c r="AR42" s="294"/>
      <c r="AS42" s="295" t="s">
        <v>139</v>
      </c>
      <c r="AT42" s="294"/>
      <c r="AU42" s="294"/>
      <c r="AV42" s="294"/>
      <c r="AW42" s="294"/>
      <c r="BB42" s="290" t="s">
        <v>139</v>
      </c>
      <c r="BD42" s="290" t="s">
        <v>139</v>
      </c>
      <c r="BE42" s="290"/>
      <c r="BG42" s="290" t="s">
        <v>214</v>
      </c>
      <c r="BH42" s="290"/>
      <c r="BK42" s="249" t="s">
        <v>213</v>
      </c>
      <c r="BN42" s="290" t="s">
        <v>214</v>
      </c>
    </row>
    <row r="43" spans="1:111" s="249" customFormat="1" x14ac:dyDescent="0.2">
      <c r="A43" s="246" t="s">
        <v>166</v>
      </c>
      <c r="B43" s="247" t="s">
        <v>220</v>
      </c>
      <c r="C43" s="247" t="s">
        <v>39</v>
      </c>
      <c r="D43" s="255" t="s">
        <v>143</v>
      </c>
      <c r="E43" s="264">
        <f t="array" ref="E43">IF(SUM(COUNTIF($G43:$ZZ43,{"y","Sa","Su"})),MAX(IF($G43:$ZZ43="y",$G$1:$ZZ$1,""), IF($G43:$ZZ43="Sa",$G$1:$ZZ$1,""),  IF($G43:$ZZ43="Su",$G$1:$ZZ$1,"")),"")</f>
        <v>42567</v>
      </c>
      <c r="F43" s="265">
        <f t="shared" ca="1" si="65"/>
        <v>4</v>
      </c>
      <c r="G43" s="248"/>
      <c r="H43" s="248"/>
      <c r="I43" s="248"/>
      <c r="J43" s="248"/>
      <c r="K43" s="248"/>
      <c r="L43" s="248"/>
      <c r="M43" s="248"/>
      <c r="N43" s="248"/>
      <c r="O43" s="248"/>
      <c r="P43" s="248"/>
      <c r="Q43" s="285"/>
      <c r="R43" s="285"/>
      <c r="S43" s="285"/>
      <c r="T43" s="285"/>
      <c r="U43" s="287"/>
      <c r="V43" s="287"/>
      <c r="W43" s="287"/>
      <c r="X43" s="287"/>
      <c r="Y43" s="285"/>
      <c r="Z43" s="285"/>
      <c r="AA43" s="287"/>
      <c r="AB43" s="286"/>
      <c r="AC43" s="286"/>
      <c r="AD43" s="286"/>
      <c r="AE43" s="288"/>
      <c r="AF43" s="286"/>
      <c r="AG43" s="286"/>
      <c r="AH43" s="286"/>
      <c r="AI43" s="288"/>
      <c r="AJ43" s="286"/>
      <c r="AK43" s="286"/>
      <c r="AM43" s="290"/>
      <c r="AP43" s="294"/>
      <c r="AQ43" s="295"/>
      <c r="AR43" s="294"/>
      <c r="AS43" s="294"/>
      <c r="AT43" s="295"/>
      <c r="AU43" s="294"/>
      <c r="AV43" s="294"/>
      <c r="AW43" s="295"/>
      <c r="AZ43" s="290"/>
      <c r="BE43" s="290"/>
      <c r="BI43" s="290" t="s">
        <v>214</v>
      </c>
      <c r="BL43" s="290"/>
      <c r="BM43" s="290" t="s">
        <v>213</v>
      </c>
      <c r="BQ43" s="290"/>
      <c r="BU43" s="290" t="s">
        <v>214</v>
      </c>
      <c r="BY43" s="290" t="s">
        <v>214</v>
      </c>
      <c r="CD43" s="290" t="s">
        <v>214</v>
      </c>
      <c r="CE43" s="290"/>
      <c r="CJ43" s="290" t="s">
        <v>214</v>
      </c>
      <c r="CO43" s="290" t="s">
        <v>213</v>
      </c>
      <c r="CT43" s="290" t="s">
        <v>214</v>
      </c>
      <c r="CX43" s="290" t="s">
        <v>214</v>
      </c>
      <c r="DD43" s="290" t="s">
        <v>213</v>
      </c>
    </row>
    <row r="44" spans="1:111" s="249" customFormat="1" x14ac:dyDescent="0.2">
      <c r="A44" s="246" t="s">
        <v>248</v>
      </c>
      <c r="B44" s="247" t="s">
        <v>210</v>
      </c>
      <c r="C44" s="247" t="s">
        <v>39</v>
      </c>
      <c r="D44" s="255" t="s">
        <v>143</v>
      </c>
      <c r="E44" s="264">
        <f t="array" ref="E44">IF(SUM(COUNTIF($G44:$ZZ44,{"y","Sa","Su"})),MAX(IF($G44:$ZZ44="y",$G$1:$ZZ$1,""), IF($G44:$ZZ44="Sa",$G$1:$ZZ$1,""),  IF($G44:$ZZ44="Su",$G$1:$ZZ$1,"")),"")</f>
        <v>42574</v>
      </c>
      <c r="F44" s="265">
        <f t="shared" ca="1" si="65"/>
        <v>3</v>
      </c>
      <c r="G44" s="248"/>
      <c r="H44" s="248"/>
      <c r="I44" s="248"/>
      <c r="J44" s="248"/>
      <c r="K44" s="248"/>
      <c r="L44" s="248"/>
      <c r="M44" s="248"/>
      <c r="N44" s="248"/>
      <c r="O44" s="248"/>
      <c r="P44" s="248"/>
      <c r="Q44" s="285"/>
      <c r="R44" s="285"/>
      <c r="S44" s="285"/>
      <c r="T44" s="285"/>
      <c r="U44" s="287"/>
      <c r="V44" s="285"/>
      <c r="W44" s="287"/>
      <c r="X44" s="287"/>
      <c r="Y44" s="285"/>
      <c r="Z44" s="287"/>
      <c r="AA44" s="285"/>
      <c r="AB44" s="286"/>
      <c r="AC44" s="286"/>
      <c r="AD44" s="286"/>
      <c r="AE44" s="286"/>
      <c r="AF44" s="288"/>
      <c r="AG44" s="286"/>
      <c r="AH44" s="286"/>
      <c r="AI44" s="286"/>
      <c r="AJ44" s="288"/>
      <c r="AK44" s="286"/>
      <c r="AO44" s="290"/>
      <c r="AP44" s="294"/>
      <c r="AQ44" s="294"/>
      <c r="AR44" s="294"/>
      <c r="AS44" s="294"/>
      <c r="AT44" s="295"/>
      <c r="AU44" s="294"/>
      <c r="AV44" s="294"/>
      <c r="AW44" s="294"/>
      <c r="AZ44" s="290"/>
      <c r="BE44" s="290"/>
      <c r="BF44" s="290"/>
      <c r="BI44" s="290"/>
      <c r="BL44" s="290"/>
      <c r="BO44" s="290"/>
      <c r="BR44" s="290"/>
      <c r="BT44" s="290"/>
      <c r="BX44" s="290"/>
      <c r="BY44" s="290"/>
      <c r="CD44" s="290"/>
      <c r="CE44" s="290"/>
      <c r="CK44" s="290"/>
      <c r="CP44" s="290"/>
      <c r="CT44" s="290"/>
      <c r="CX44" s="290" t="s">
        <v>213</v>
      </c>
      <c r="CY44" s="290"/>
      <c r="DE44" s="290" t="s">
        <v>214</v>
      </c>
    </row>
    <row r="45" spans="1:111" s="249" customFormat="1" hidden="1" x14ac:dyDescent="0.2">
      <c r="A45" s="246" t="s">
        <v>206</v>
      </c>
      <c r="B45" s="247" t="s">
        <v>72</v>
      </c>
      <c r="C45" s="247" t="s">
        <v>158</v>
      </c>
      <c r="D45" s="256" t="s">
        <v>141</v>
      </c>
      <c r="E45" s="264" t="str">
        <f t="array" ref="E45">IF(SUM(COUNTIF($G45:$ZZ45,{"y","Sa","Su"})),MAX(IF($G45:$ZZ45="y",$G$1:$ZZ$1,""), IF($G45:$ZZ45="Sa",$G$1:$ZZ$1,""),  IF($G45:$ZZ45="Su",$G$1:$ZZ$1,"")),"")</f>
        <v/>
      </c>
      <c r="F45" s="265" t="str">
        <f t="shared" ca="1" si="65"/>
        <v>No past shifts</v>
      </c>
      <c r="G45" s="248"/>
      <c r="H45" s="248"/>
      <c r="I45" s="248"/>
      <c r="J45" s="248"/>
      <c r="K45" s="248"/>
      <c r="L45" s="248"/>
      <c r="M45" s="248"/>
      <c r="N45" s="248"/>
      <c r="O45" s="248"/>
      <c r="P45" s="248"/>
      <c r="Q45" s="248"/>
      <c r="R45" s="248"/>
      <c r="S45" s="248"/>
      <c r="T45" s="248"/>
      <c r="AM45" s="290"/>
      <c r="AP45" s="294"/>
      <c r="AQ45" s="294"/>
      <c r="AR45" s="294"/>
      <c r="AS45" s="294"/>
      <c r="AT45" s="295"/>
      <c r="AU45" s="294"/>
      <c r="AV45" s="295"/>
      <c r="AW45" s="294"/>
      <c r="BB45" s="290"/>
    </row>
    <row r="46" spans="1:111" s="249" customFormat="1" hidden="1" x14ac:dyDescent="0.2">
      <c r="A46" s="246" t="s">
        <v>208</v>
      </c>
      <c r="B46" s="247" t="s">
        <v>153</v>
      </c>
      <c r="C46" s="247" t="s">
        <v>107</v>
      </c>
      <c r="D46" s="256" t="s">
        <v>141</v>
      </c>
      <c r="E46" s="264" t="str">
        <f t="array" ref="E46">IF(SUM(COUNTIF($G46:$ZZ46,{"y","Sa","Su"})),MAX(IF($G46:$ZZ46="y",$G$1:$ZZ$1,""), IF($G46:$ZZ46="Sa",$G$1:$ZZ$1,""),  IF($G46:$ZZ46="Su",$G$1:$ZZ$1,"")),"")</f>
        <v/>
      </c>
      <c r="F46" s="265" t="str">
        <f t="shared" ca="1" si="65"/>
        <v>No past shifts</v>
      </c>
      <c r="G46" s="248"/>
      <c r="H46" s="248"/>
      <c r="I46" s="248"/>
      <c r="J46" s="248"/>
      <c r="K46" s="248"/>
      <c r="L46" s="248"/>
      <c r="M46" s="248"/>
      <c r="N46" s="248"/>
      <c r="O46" s="248"/>
      <c r="P46" s="248"/>
      <c r="Q46" s="248"/>
      <c r="R46" s="248"/>
      <c r="S46" s="248"/>
      <c r="T46" s="248"/>
      <c r="AM46" s="290"/>
      <c r="AP46" s="294"/>
      <c r="AQ46" s="294"/>
      <c r="AR46" s="294"/>
      <c r="AS46" s="294"/>
      <c r="AT46" s="295"/>
      <c r="AU46" s="294"/>
      <c r="AV46" s="295"/>
      <c r="AW46" s="294"/>
      <c r="BB46" s="290"/>
    </row>
    <row r="47" spans="1:111" s="249" customFormat="1" x14ac:dyDescent="0.2">
      <c r="A47" s="246" t="s">
        <v>246</v>
      </c>
      <c r="B47" s="247" t="s">
        <v>220</v>
      </c>
      <c r="C47" s="247" t="s">
        <v>39</v>
      </c>
      <c r="D47" s="255" t="s">
        <v>143</v>
      </c>
      <c r="E47" s="264">
        <f t="array" ref="E47">IF(SUM(COUNTIF($G47:$ZZ47,{"y","Sa","Su"})),MAX(IF($G47:$ZZ47="y",$G$1:$ZZ$1,""), IF($G47:$ZZ47="Sa",$G$1:$ZZ$1,""),  IF($G47:$ZZ47="Su",$G$1:$ZZ$1,"")),"")</f>
        <v>42532</v>
      </c>
      <c r="F47" s="265">
        <f t="shared" ca="1" si="65"/>
        <v>9</v>
      </c>
      <c r="G47" s="248"/>
      <c r="H47" s="248"/>
      <c r="I47" s="248"/>
      <c r="J47" s="248"/>
      <c r="K47" s="248"/>
      <c r="L47" s="248"/>
      <c r="M47" s="248"/>
      <c r="N47" s="248"/>
      <c r="O47" s="248"/>
      <c r="P47" s="248"/>
      <c r="Q47" s="285"/>
      <c r="R47" s="285"/>
      <c r="S47" s="285"/>
      <c r="T47" s="285"/>
      <c r="U47" s="285"/>
      <c r="V47" s="286"/>
      <c r="W47" s="286"/>
      <c r="X47" s="286"/>
      <c r="Y47" s="287"/>
      <c r="Z47" s="287"/>
      <c r="AA47" s="287"/>
      <c r="AB47" s="286"/>
      <c r="AC47" s="286"/>
      <c r="AD47" s="286"/>
      <c r="AE47" s="286"/>
      <c r="AF47" s="286"/>
      <c r="AG47" s="286"/>
      <c r="AH47" s="286"/>
      <c r="AI47" s="286"/>
      <c r="AJ47" s="286"/>
      <c r="AK47" s="286"/>
      <c r="CY47" s="290" t="s">
        <v>214</v>
      </c>
      <c r="DC47" s="347" t="s">
        <v>273</v>
      </c>
    </row>
    <row r="48" spans="1:111" s="249" customFormat="1" x14ac:dyDescent="0.2">
      <c r="A48" s="246" t="s">
        <v>255</v>
      </c>
      <c r="B48" s="247" t="s">
        <v>210</v>
      </c>
      <c r="C48" s="247" t="s">
        <v>31</v>
      </c>
      <c r="D48" s="255" t="s">
        <v>143</v>
      </c>
      <c r="E48" s="264">
        <f t="array" ref="E48">IF(SUM(COUNTIF($G48:$ZZ48,{"y","Sa","Su"})),MAX(IF($G48:$ZZ48="y",$G$1:$ZZ$1,""), IF($G48:$ZZ48="Sa",$G$1:$ZZ$1,""),  IF($G48:$ZZ48="Su",$G$1:$ZZ$1,"")),"")</f>
        <v>42581</v>
      </c>
      <c r="F48" s="265">
        <f t="shared" ca="1" si="65"/>
        <v>2</v>
      </c>
      <c r="G48" s="248"/>
      <c r="H48" s="248"/>
      <c r="I48" s="248" t="s">
        <v>139</v>
      </c>
      <c r="J48" s="248"/>
      <c r="K48" s="248"/>
      <c r="L48" s="248" t="s">
        <v>139</v>
      </c>
      <c r="M48" s="248"/>
      <c r="N48" s="248"/>
      <c r="O48" s="248"/>
      <c r="P48" s="248"/>
      <c r="Q48" s="285" t="s">
        <v>139</v>
      </c>
      <c r="R48" s="285"/>
      <c r="S48" s="285"/>
      <c r="T48" s="285"/>
      <c r="U48" s="287"/>
      <c r="V48" s="287"/>
      <c r="W48" s="287" t="s">
        <v>139</v>
      </c>
      <c r="X48" s="287"/>
      <c r="Y48" s="287"/>
      <c r="Z48" s="287"/>
      <c r="AA48" s="287"/>
      <c r="AB48" s="288" t="s">
        <v>139</v>
      </c>
      <c r="AC48" s="286"/>
      <c r="AD48" s="286"/>
      <c r="AE48" s="286"/>
      <c r="AF48" s="286"/>
      <c r="AG48" s="288" t="s">
        <v>139</v>
      </c>
      <c r="AH48" s="288"/>
      <c r="AI48" s="286"/>
      <c r="AJ48" s="286"/>
      <c r="AK48" s="288" t="s">
        <v>139</v>
      </c>
      <c r="AO48" s="290" t="s">
        <v>139</v>
      </c>
      <c r="AP48" s="294"/>
      <c r="AQ48" s="294"/>
      <c r="AR48" s="294"/>
      <c r="AS48" s="295" t="s">
        <v>139</v>
      </c>
      <c r="AT48" s="294"/>
      <c r="AU48" s="294"/>
      <c r="AV48" s="294"/>
      <c r="AW48" s="294"/>
      <c r="AY48" s="290" t="s">
        <v>139</v>
      </c>
      <c r="BE48" s="290" t="s">
        <v>214</v>
      </c>
      <c r="BH48" s="290" t="s">
        <v>213</v>
      </c>
      <c r="BK48" s="249" t="s">
        <v>214</v>
      </c>
      <c r="BL48" s="290"/>
      <c r="BN48" s="290" t="s">
        <v>213</v>
      </c>
      <c r="BQ48" s="290" t="s">
        <v>213</v>
      </c>
      <c r="BU48" s="290" t="s">
        <v>214</v>
      </c>
      <c r="BX48" s="290"/>
      <c r="BY48" s="290" t="s">
        <v>214</v>
      </c>
      <c r="CA48" s="290" t="s">
        <v>214</v>
      </c>
      <c r="CC48" s="290" t="s">
        <v>214</v>
      </c>
      <c r="CJ48" s="290" t="s">
        <v>214</v>
      </c>
      <c r="CN48" s="290" t="s">
        <v>214</v>
      </c>
      <c r="CP48" s="290" t="s">
        <v>225</v>
      </c>
      <c r="CS48" s="290" t="s">
        <v>214</v>
      </c>
      <c r="CU48" s="290" t="s">
        <v>225</v>
      </c>
      <c r="CW48" s="290" t="s">
        <v>225</v>
      </c>
      <c r="CY48" s="290" t="s">
        <v>213</v>
      </c>
      <c r="DA48" s="290" t="s">
        <v>225</v>
      </c>
      <c r="DF48" s="290" t="s">
        <v>214</v>
      </c>
    </row>
    <row r="49" spans="1:110" s="249" customFormat="1" hidden="1" x14ac:dyDescent="0.2">
      <c r="A49" s="246" t="s">
        <v>98</v>
      </c>
      <c r="B49" s="247" t="s">
        <v>72</v>
      </c>
      <c r="C49" s="247" t="s">
        <v>39</v>
      </c>
      <c r="D49" s="255" t="s">
        <v>141</v>
      </c>
      <c r="E49" s="264">
        <f t="array" ref="E49">IF(SUM(COUNTIF($G49:$ZZ49,{"y","Sa","Su"})),MAX(IF($G49:$ZZ49="y",$G$1:$ZZ$1,""), IF($G49:$ZZ49="Sa",$G$1:$ZZ$1,""),  IF($G49:$ZZ49="Su",$G$1:$ZZ$1,"")),"")</f>
        <v>42168</v>
      </c>
      <c r="F49" s="265">
        <f t="shared" ca="1" si="65"/>
        <v>61</v>
      </c>
      <c r="G49" s="248" t="s">
        <v>139</v>
      </c>
      <c r="H49" s="248"/>
      <c r="I49" s="248"/>
      <c r="J49" s="248"/>
      <c r="K49" s="248"/>
      <c r="L49" s="248"/>
      <c r="M49" s="248"/>
      <c r="N49" s="248"/>
      <c r="O49" s="248"/>
      <c r="P49" s="248"/>
      <c r="Q49" s="285" t="s">
        <v>139</v>
      </c>
      <c r="R49" s="285"/>
      <c r="S49" s="285"/>
      <c r="T49" s="285"/>
      <c r="U49" s="287"/>
      <c r="V49" s="287"/>
      <c r="W49" s="285" t="s">
        <v>139</v>
      </c>
      <c r="X49" s="287"/>
      <c r="Y49" s="287"/>
      <c r="Z49" s="287"/>
      <c r="AA49" s="287"/>
      <c r="AB49" s="288" t="s">
        <v>139</v>
      </c>
      <c r="AC49" s="286"/>
      <c r="AD49" s="286"/>
      <c r="AE49" s="286"/>
      <c r="AF49" s="286"/>
      <c r="AG49" s="288" t="s">
        <v>139</v>
      </c>
      <c r="AH49" s="286"/>
      <c r="AI49" s="286"/>
      <c r="AJ49" s="288"/>
      <c r="AK49" s="288" t="s">
        <v>139</v>
      </c>
      <c r="AP49" s="295" t="s">
        <v>139</v>
      </c>
      <c r="AQ49" s="294"/>
      <c r="AR49" s="294"/>
      <c r="AS49" s="294"/>
      <c r="AT49" s="294"/>
      <c r="AU49" s="294"/>
      <c r="AV49" s="295"/>
      <c r="AW49" s="295"/>
      <c r="AX49" s="290"/>
      <c r="AY49" s="290" t="s">
        <v>139</v>
      </c>
    </row>
    <row r="50" spans="1:110" s="249" customFormat="1" x14ac:dyDescent="0.2">
      <c r="A50" s="252" t="s">
        <v>267</v>
      </c>
      <c r="B50" s="247" t="s">
        <v>118</v>
      </c>
      <c r="C50" s="247" t="s">
        <v>31</v>
      </c>
      <c r="D50" s="256" t="s">
        <v>143</v>
      </c>
      <c r="E50" s="264">
        <f t="array" ref="E50">IF(SUM(COUNTIF($G50:$ZZ50,{"y","Sa","Su"})),MAX(IF($G50:$ZZ50="y",$G$1:$ZZ$1,""), IF($G50:$ZZ50="Sa",$G$1:$ZZ$1,""),  IF($G50:$ZZ50="Su",$G$1:$ZZ$1,"")),"")</f>
        <v>42567</v>
      </c>
      <c r="F50" s="265">
        <f t="shared" ca="1" si="65"/>
        <v>4</v>
      </c>
      <c r="G50" s="248"/>
      <c r="H50" s="248"/>
      <c r="I50" s="248"/>
      <c r="J50" s="248"/>
      <c r="K50" s="248"/>
      <c r="L50" s="248"/>
      <c r="M50" s="248"/>
      <c r="N50" s="248"/>
      <c r="O50" s="248"/>
      <c r="P50" s="248"/>
      <c r="Q50" s="248"/>
      <c r="R50" s="248"/>
      <c r="S50" s="248"/>
      <c r="T50" s="248"/>
      <c r="AP50" s="294"/>
      <c r="AQ50" s="294"/>
      <c r="AR50" s="294"/>
      <c r="AS50" s="294"/>
      <c r="BD50" s="290"/>
      <c r="BE50" s="290"/>
      <c r="BQ50" s="290" t="s">
        <v>213</v>
      </c>
      <c r="BR50" s="290" t="s">
        <v>214</v>
      </c>
      <c r="BV50" s="249" t="s">
        <v>214</v>
      </c>
      <c r="CD50" s="290" t="s">
        <v>214</v>
      </c>
      <c r="CI50" s="290" t="s">
        <v>213</v>
      </c>
      <c r="CL50" s="328"/>
      <c r="CM50" s="328" t="s">
        <v>214</v>
      </c>
      <c r="CT50" s="290" t="s">
        <v>213</v>
      </c>
      <c r="CV50" s="290" t="s">
        <v>225</v>
      </c>
      <c r="CY50" s="290" t="s">
        <v>214</v>
      </c>
      <c r="CZ50" s="290" t="s">
        <v>225</v>
      </c>
      <c r="DD50" s="290" t="s">
        <v>213</v>
      </c>
      <c r="DF50" s="290" t="s">
        <v>225</v>
      </c>
    </row>
    <row r="51" spans="1:110" s="249" customFormat="1" ht="12" hidden="1" customHeight="1" x14ac:dyDescent="0.2">
      <c r="A51" s="252" t="s">
        <v>145</v>
      </c>
      <c r="B51" s="247" t="s">
        <v>12</v>
      </c>
      <c r="C51" s="247" t="s">
        <v>31</v>
      </c>
      <c r="D51" s="256" t="s">
        <v>141</v>
      </c>
      <c r="E51" s="264" t="str">
        <f t="array" ref="E51">IF(SUM(COUNTIF($G51:$ZZ51,{"y","Sa","Su"})),MAX(IF($G51:$ZZ51="y",$G$1:$ZZ$1,""), IF($G51:$ZZ51="Sa",$G$1:$ZZ$1,""),  IF($G51:$ZZ51="Su",$G$1:$ZZ$1,"")),"")</f>
        <v/>
      </c>
      <c r="F51" s="265" t="str">
        <f t="shared" ca="1" si="65"/>
        <v>No past shifts</v>
      </c>
      <c r="G51" s="248"/>
      <c r="H51" s="248"/>
      <c r="I51" s="248"/>
      <c r="J51" s="248"/>
      <c r="K51" s="248"/>
      <c r="L51" s="248"/>
      <c r="M51" s="248"/>
      <c r="N51" s="248"/>
      <c r="O51" s="248"/>
      <c r="P51" s="248"/>
      <c r="Q51" s="285"/>
      <c r="R51" s="285"/>
      <c r="S51" s="285"/>
      <c r="T51" s="285"/>
      <c r="U51" s="286"/>
      <c r="V51" s="286"/>
      <c r="W51" s="286"/>
      <c r="X51" s="286"/>
      <c r="Y51" s="287"/>
      <c r="Z51" s="287"/>
      <c r="AA51" s="287"/>
      <c r="AB51" s="286"/>
      <c r="AC51" s="286"/>
      <c r="AD51" s="286"/>
      <c r="AE51" s="286"/>
      <c r="AF51" s="286"/>
      <c r="AG51" s="286"/>
      <c r="AH51" s="286"/>
      <c r="AI51" s="286"/>
      <c r="AJ51" s="286"/>
      <c r="AK51" s="286"/>
    </row>
    <row r="52" spans="1:110" s="249" customFormat="1" hidden="1" x14ac:dyDescent="0.2">
      <c r="A52" s="246" t="s">
        <v>127</v>
      </c>
      <c r="B52" s="247" t="s">
        <v>220</v>
      </c>
      <c r="C52" s="247" t="s">
        <v>39</v>
      </c>
      <c r="D52" s="255" t="s">
        <v>141</v>
      </c>
      <c r="E52" s="264">
        <f t="array" ref="E52">IF(SUM(COUNTIF($G52:$ZZ52,{"y","Sa","Su"})),MAX(IF($G52:$ZZ52="y",$G$1:$ZZ$1,""), IF($G52:$ZZ52="Sa",$G$1:$ZZ$1,""),  IF($G52:$ZZ52="Su",$G$1:$ZZ$1,"")),"")</f>
        <v>42371</v>
      </c>
      <c r="F52" s="265">
        <f t="shared" ca="1" si="65"/>
        <v>32</v>
      </c>
      <c r="G52" s="248"/>
      <c r="H52" s="248"/>
      <c r="I52" s="248"/>
      <c r="J52" s="248"/>
      <c r="K52" s="248"/>
      <c r="L52" s="248"/>
      <c r="M52" s="248" t="s">
        <v>139</v>
      </c>
      <c r="N52" s="248"/>
      <c r="O52" s="248"/>
      <c r="P52" s="248"/>
      <c r="Q52" s="285"/>
      <c r="R52" s="285"/>
      <c r="S52" s="285" t="s">
        <v>139</v>
      </c>
      <c r="T52" s="285"/>
      <c r="U52" s="287"/>
      <c r="V52" s="287"/>
      <c r="W52" s="287"/>
      <c r="X52" s="287"/>
      <c r="Y52" s="285" t="s">
        <v>139</v>
      </c>
      <c r="Z52" s="287"/>
      <c r="AA52" s="287"/>
      <c r="AB52" s="286"/>
      <c r="AC52" s="286"/>
      <c r="AD52" s="288" t="s">
        <v>139</v>
      </c>
      <c r="AE52" s="286"/>
      <c r="AF52" s="286"/>
      <c r="AG52" s="286"/>
      <c r="AH52" s="288"/>
      <c r="AI52" s="288" t="s">
        <v>139</v>
      </c>
      <c r="AJ52" s="286"/>
      <c r="AK52" s="286"/>
      <c r="AP52" s="294"/>
      <c r="AQ52" s="294"/>
      <c r="AR52" s="294"/>
      <c r="AS52" s="294"/>
      <c r="AT52" s="295" t="s">
        <v>139</v>
      </c>
      <c r="AU52" s="294"/>
      <c r="AV52" s="294"/>
      <c r="AW52" s="295" t="s">
        <v>139</v>
      </c>
      <c r="BC52" s="290" t="s">
        <v>139</v>
      </c>
      <c r="BF52" s="290"/>
      <c r="BG52" s="290" t="s">
        <v>214</v>
      </c>
      <c r="BH52" s="290" t="s">
        <v>214</v>
      </c>
      <c r="BL52" s="290"/>
      <c r="BX52" s="290" t="s">
        <v>214</v>
      </c>
      <c r="CB52" s="290" t="s">
        <v>214</v>
      </c>
    </row>
    <row r="53" spans="1:110" s="249" customFormat="1" hidden="1" x14ac:dyDescent="0.2">
      <c r="A53" s="246" t="s">
        <v>144</v>
      </c>
      <c r="B53" s="247" t="s">
        <v>118</v>
      </c>
      <c r="C53" s="247" t="s">
        <v>39</v>
      </c>
      <c r="D53" s="255" t="s">
        <v>141</v>
      </c>
      <c r="E53" s="264">
        <f t="array" ref="E53">IF(SUM(COUNTIF($G53:$ZZ53,{"y","Sa","Su"})),MAX(IF($G53:$ZZ53="y",$G$1:$ZZ$1,""), IF($G53:$ZZ53="Sa",$G$1:$ZZ$1,""),  IF($G53:$ZZ53="Su",$G$1:$ZZ$1,"")),"")</f>
        <v>41888</v>
      </c>
      <c r="F53" s="265">
        <f t="shared" ca="1" si="65"/>
        <v>101</v>
      </c>
      <c r="G53" s="248"/>
      <c r="H53" s="248"/>
      <c r="I53" s="248"/>
      <c r="J53" s="248" t="s">
        <v>139</v>
      </c>
      <c r="K53" s="248" t="s">
        <v>139</v>
      </c>
      <c r="L53" s="248"/>
      <c r="M53" s="248"/>
      <c r="N53" s="248"/>
      <c r="O53" s="248"/>
      <c r="P53" s="248"/>
      <c r="Q53" s="285"/>
      <c r="R53" s="285"/>
      <c r="S53" s="285"/>
      <c r="T53" s="285"/>
      <c r="U53" s="286"/>
      <c r="V53" s="286"/>
      <c r="W53" s="286"/>
      <c r="X53" s="286"/>
      <c r="Y53" s="286"/>
      <c r="Z53" s="286"/>
      <c r="AA53" s="286"/>
      <c r="AB53" s="286"/>
      <c r="AC53" s="286"/>
      <c r="AD53" s="286"/>
      <c r="AE53" s="286"/>
      <c r="AF53" s="286"/>
      <c r="AG53" s="286"/>
      <c r="AH53" s="286"/>
      <c r="AI53" s="286"/>
      <c r="AJ53" s="286"/>
      <c r="AK53" s="286"/>
    </row>
    <row r="54" spans="1:110" s="249" customFormat="1" hidden="1" x14ac:dyDescent="0.2">
      <c r="A54" s="246" t="s">
        <v>133</v>
      </c>
      <c r="B54" s="247" t="s">
        <v>72</v>
      </c>
      <c r="C54" s="247" t="s">
        <v>107</v>
      </c>
      <c r="D54" s="255" t="s">
        <v>141</v>
      </c>
      <c r="E54" s="264" t="str">
        <f t="array" ref="E54">IF(SUM(COUNTIF($G54:$ZZ54,{"y","Sa","Su"})),MAX(IF($G54:$ZZ54="y",$G$1:$ZZ$1,""), IF($G54:$ZZ54="Sa",$G$1:$ZZ$1,""),  IF($G54:$ZZ54="Su",$G$1:$ZZ$1,"")),"")</f>
        <v/>
      </c>
      <c r="F54" s="265" t="str">
        <f t="shared" ca="1" si="65"/>
        <v>No past shifts</v>
      </c>
      <c r="G54" s="248"/>
      <c r="H54" s="248"/>
      <c r="I54" s="248"/>
      <c r="J54" s="248"/>
      <c r="K54" s="248"/>
      <c r="L54" s="248"/>
      <c r="M54" s="248"/>
      <c r="N54" s="248"/>
      <c r="O54" s="248"/>
      <c r="P54" s="248"/>
      <c r="Q54" s="285"/>
      <c r="R54" s="285"/>
      <c r="S54" s="285"/>
      <c r="T54" s="285"/>
      <c r="U54" s="286"/>
      <c r="V54" s="286"/>
      <c r="W54" s="286"/>
      <c r="X54" s="286"/>
      <c r="Y54" s="286"/>
      <c r="Z54" s="286"/>
      <c r="AA54" s="286"/>
      <c r="AB54" s="286"/>
      <c r="AC54" s="286"/>
      <c r="AD54" s="286"/>
      <c r="AE54" s="286"/>
      <c r="AF54" s="286"/>
      <c r="AG54" s="286"/>
      <c r="AH54" s="286"/>
      <c r="AI54" s="286"/>
      <c r="AJ54" s="286"/>
      <c r="AK54" s="286"/>
    </row>
    <row r="55" spans="1:110" s="249" customFormat="1" hidden="1" x14ac:dyDescent="0.2">
      <c r="A55" s="246" t="s">
        <v>83</v>
      </c>
      <c r="B55" s="247" t="s">
        <v>153</v>
      </c>
      <c r="C55" s="247" t="s">
        <v>164</v>
      </c>
      <c r="D55" s="255" t="s">
        <v>142</v>
      </c>
      <c r="E55" s="264" t="str">
        <f t="array" ref="E55">IF(SUM(COUNTIF($G55:$ZZ55,{"y","Sa","Su"})),MAX(IF($G55:$ZZ55="y",$G$1:$ZZ$1,""), IF($G55:$ZZ55="Sa",$G$1:$ZZ$1,""),  IF($G55:$ZZ55="Su",$G$1:$ZZ$1,"")),"")</f>
        <v/>
      </c>
      <c r="F55" s="265" t="str">
        <f t="shared" ca="1" si="65"/>
        <v>No past shifts</v>
      </c>
      <c r="G55" s="248"/>
      <c r="H55" s="248"/>
      <c r="I55" s="248"/>
      <c r="J55" s="248"/>
      <c r="K55" s="248"/>
      <c r="L55" s="248"/>
      <c r="M55" s="248"/>
      <c r="N55" s="248"/>
      <c r="O55" s="248"/>
      <c r="P55" s="248"/>
      <c r="Q55" s="285"/>
      <c r="R55" s="285"/>
      <c r="S55" s="285"/>
      <c r="T55" s="285"/>
      <c r="U55" s="286"/>
      <c r="V55" s="286"/>
      <c r="W55" s="286"/>
      <c r="X55" s="286"/>
      <c r="Y55" s="286"/>
      <c r="Z55" s="286"/>
      <c r="AA55" s="286"/>
      <c r="AB55" s="286"/>
      <c r="AC55" s="286"/>
      <c r="AD55" s="286"/>
      <c r="AE55" s="286"/>
      <c r="AF55" s="286"/>
      <c r="AG55" s="286"/>
      <c r="AH55" s="286"/>
      <c r="AI55" s="286"/>
      <c r="AJ55" s="286"/>
      <c r="AK55" s="286"/>
    </row>
    <row r="56" spans="1:110" s="249" customFormat="1" hidden="1" x14ac:dyDescent="0.2">
      <c r="A56" s="246" t="s">
        <v>97</v>
      </c>
      <c r="B56" s="247" t="s">
        <v>220</v>
      </c>
      <c r="C56" s="247" t="s">
        <v>30</v>
      </c>
      <c r="D56" s="255" t="s">
        <v>142</v>
      </c>
      <c r="E56" s="264">
        <f t="array" ref="E56">IF(SUM(COUNTIF($G56:$ZZ56,{"y","Sa","Su"})),MAX(IF($G56:$ZZ56="y",$G$1:$ZZ$1,""), IF($G56:$ZZ56="Sa",$G$1:$ZZ$1,""),  IF($G56:$ZZ56="Su",$G$1:$ZZ$1,"")),"")</f>
        <v>42105</v>
      </c>
      <c r="F56" s="265">
        <f t="shared" ca="1" si="65"/>
        <v>70</v>
      </c>
      <c r="G56" s="248"/>
      <c r="H56" s="248"/>
      <c r="I56" s="248"/>
      <c r="J56" s="248"/>
      <c r="K56" s="248" t="s">
        <v>139</v>
      </c>
      <c r="L56" s="248"/>
      <c r="M56" s="248"/>
      <c r="N56" s="248" t="s">
        <v>139</v>
      </c>
      <c r="O56" s="248"/>
      <c r="P56" s="248"/>
      <c r="Q56" s="285"/>
      <c r="R56" s="285"/>
      <c r="S56" s="285"/>
      <c r="T56" s="285" t="s">
        <v>139</v>
      </c>
      <c r="U56" s="287"/>
      <c r="V56" s="287"/>
      <c r="W56" s="287"/>
      <c r="X56" s="287"/>
      <c r="Y56" s="285" t="s">
        <v>139</v>
      </c>
      <c r="Z56" s="287"/>
      <c r="AA56" s="287"/>
      <c r="AB56" s="286"/>
      <c r="AC56" s="286"/>
      <c r="AD56" s="288" t="s">
        <v>139</v>
      </c>
      <c r="AE56" s="286"/>
      <c r="AF56" s="286"/>
      <c r="AG56" s="286"/>
      <c r="AH56" s="286"/>
      <c r="AI56" s="288" t="s">
        <v>139</v>
      </c>
      <c r="AJ56" s="286"/>
      <c r="AK56" s="286"/>
      <c r="AL56" s="290" t="s">
        <v>139</v>
      </c>
      <c r="AP56" s="295" t="s">
        <v>139</v>
      </c>
      <c r="AQ56" s="294"/>
      <c r="AR56" s="294"/>
      <c r="AS56" s="294"/>
      <c r="AT56" s="294"/>
      <c r="AU56" s="294"/>
      <c r="AV56" s="294"/>
      <c r="AW56" s="294"/>
    </row>
    <row r="57" spans="1:110" s="249" customFormat="1" hidden="1" x14ac:dyDescent="0.2">
      <c r="A57" s="252" t="s">
        <v>149</v>
      </c>
      <c r="B57" s="247" t="s">
        <v>118</v>
      </c>
      <c r="C57" s="247" t="s">
        <v>39</v>
      </c>
      <c r="D57" s="256" t="s">
        <v>141</v>
      </c>
      <c r="E57" s="264">
        <f t="array" ref="E57">IF(SUM(COUNTIF($G57:$ZZ57,{"y","Sa","Su"})),MAX(IF($G57:$ZZ57="y",$G$1:$ZZ$1,""), IF($G57:$ZZ57="Sa",$G$1:$ZZ$1,""),  IF($G57:$ZZ57="Su",$G$1:$ZZ$1,"")),"")</f>
        <v>42056</v>
      </c>
      <c r="F57" s="265">
        <f t="shared" ca="1" si="65"/>
        <v>77</v>
      </c>
      <c r="G57" s="248"/>
      <c r="H57" s="248"/>
      <c r="I57" s="248"/>
      <c r="J57" s="248"/>
      <c r="K57" s="248"/>
      <c r="L57" s="248"/>
      <c r="M57" s="248"/>
      <c r="N57" s="248"/>
      <c r="O57" s="248"/>
      <c r="P57" s="248"/>
      <c r="Q57" s="285"/>
      <c r="R57" s="285"/>
      <c r="S57" s="285"/>
      <c r="T57" s="285"/>
      <c r="U57" s="286"/>
      <c r="V57" s="286"/>
      <c r="W57" s="286"/>
      <c r="X57" s="286"/>
      <c r="Y57" s="287"/>
      <c r="Z57" s="285"/>
      <c r="AA57" s="285" t="s">
        <v>139</v>
      </c>
      <c r="AB57" s="286"/>
      <c r="AC57" s="286"/>
      <c r="AD57" s="286"/>
      <c r="AE57" s="286"/>
      <c r="AF57" s="286"/>
      <c r="AG57" s="286"/>
      <c r="AH57" s="286"/>
      <c r="AI57" s="288" t="s">
        <v>139</v>
      </c>
      <c r="AJ57" s="286"/>
      <c r="AK57" s="286"/>
    </row>
    <row r="58" spans="1:110" s="249" customFormat="1" hidden="1" x14ac:dyDescent="0.2">
      <c r="A58" s="246" t="s">
        <v>253</v>
      </c>
      <c r="B58" s="247" t="s">
        <v>72</v>
      </c>
      <c r="C58" s="247" t="s">
        <v>31</v>
      </c>
      <c r="D58" s="255" t="s">
        <v>137</v>
      </c>
      <c r="E58" s="264" t="str">
        <f t="array" ref="E58">IF(SUM(COUNTIF($G58:$ZZ58,{"y","Sa","Su"})),MAX(IF($G58:$ZZ58="y",$G$1:$ZZ$1,""), IF($G58:$ZZ58="Sa",$G$1:$ZZ$1,""),  IF($G58:$ZZ58="Su",$G$1:$ZZ$1,"")),"")</f>
        <v/>
      </c>
      <c r="F58" s="265" t="str">
        <f t="shared" ca="1" si="65"/>
        <v>Static shift</v>
      </c>
      <c r="G58" s="248"/>
      <c r="H58" s="248"/>
      <c r="I58" s="248"/>
      <c r="J58" s="248"/>
      <c r="K58" s="248"/>
      <c r="L58" s="248"/>
      <c r="M58" s="248"/>
      <c r="N58" s="248"/>
      <c r="O58" s="248"/>
      <c r="P58" s="248"/>
      <c r="Q58" s="285"/>
      <c r="R58" s="285"/>
      <c r="S58" s="285"/>
      <c r="T58" s="285"/>
      <c r="U58" s="286"/>
      <c r="V58" s="286"/>
      <c r="W58" s="286"/>
      <c r="X58" s="286"/>
      <c r="Y58" s="286"/>
      <c r="Z58" s="286"/>
      <c r="AA58" s="286"/>
      <c r="AB58" s="286"/>
      <c r="AC58" s="286"/>
      <c r="AD58" s="286"/>
      <c r="AE58" s="286"/>
      <c r="AF58" s="286"/>
      <c r="AG58" s="286"/>
      <c r="AH58" s="286"/>
      <c r="AI58" s="286"/>
      <c r="AJ58" s="286"/>
      <c r="AK58" s="286"/>
      <c r="AP58" s="294"/>
      <c r="AQ58" s="294"/>
      <c r="AR58" s="294"/>
      <c r="AS58" s="294"/>
    </row>
    <row r="59" spans="1:110" s="249" customFormat="1" hidden="1" x14ac:dyDescent="0.2">
      <c r="A59" s="246" t="s">
        <v>92</v>
      </c>
      <c r="B59" s="247" t="s">
        <v>210</v>
      </c>
      <c r="C59" s="247" t="s">
        <v>30</v>
      </c>
      <c r="D59" s="255" t="s">
        <v>142</v>
      </c>
      <c r="E59" s="264">
        <f t="array" ref="E59">IF(SUM(COUNTIF($G59:$ZZ59,{"y","Sa","Su"})),MAX(IF($G59:$ZZ59="y",$G$1:$ZZ$1,""), IF($G59:$ZZ59="Sa",$G$1:$ZZ$1,""),  IF($G59:$ZZ59="Su",$G$1:$ZZ$1,"")),"")</f>
        <v>42217</v>
      </c>
      <c r="F59" s="265">
        <f t="shared" ca="1" si="65"/>
        <v>54</v>
      </c>
      <c r="G59" s="248"/>
      <c r="H59" s="248"/>
      <c r="I59" s="248"/>
      <c r="J59" s="248"/>
      <c r="K59" s="248"/>
      <c r="L59" s="248"/>
      <c r="M59" s="248"/>
      <c r="N59" s="248"/>
      <c r="O59" s="248"/>
      <c r="P59" s="248"/>
      <c r="Q59" s="285"/>
      <c r="R59" s="285"/>
      <c r="S59" s="285"/>
      <c r="T59" s="285"/>
      <c r="U59" s="286"/>
      <c r="V59" s="286"/>
      <c r="W59" s="286"/>
      <c r="X59" s="286"/>
      <c r="Y59" s="286"/>
      <c r="Z59" s="286"/>
      <c r="AA59" s="286"/>
      <c r="AB59" s="286"/>
      <c r="AC59" s="286"/>
      <c r="AD59" s="286"/>
      <c r="AE59" s="286"/>
      <c r="AF59" s="286"/>
      <c r="AG59" s="286"/>
      <c r="AH59" s="288" t="s">
        <v>138</v>
      </c>
      <c r="AI59" s="288" t="s">
        <v>138</v>
      </c>
      <c r="AJ59" s="288" t="s">
        <v>138</v>
      </c>
      <c r="AK59" s="286"/>
      <c r="AP59" s="294"/>
      <c r="AQ59" s="294"/>
      <c r="AR59" s="294"/>
      <c r="AS59" s="294"/>
      <c r="AY59" s="290" t="s">
        <v>138</v>
      </c>
      <c r="AZ59" s="290" t="s">
        <v>139</v>
      </c>
      <c r="BB59" s="290"/>
      <c r="BC59" s="290" t="s">
        <v>139</v>
      </c>
      <c r="BD59" s="290" t="s">
        <v>139</v>
      </c>
      <c r="BF59" s="290" t="s">
        <v>139</v>
      </c>
    </row>
    <row r="60" spans="1:110" s="249" customFormat="1" x14ac:dyDescent="0.2">
      <c r="A60" s="246" t="s">
        <v>269</v>
      </c>
      <c r="B60" s="247" t="s">
        <v>220</v>
      </c>
      <c r="C60" s="247" t="s">
        <v>31</v>
      </c>
      <c r="D60" s="255" t="s">
        <v>143</v>
      </c>
      <c r="E60" s="264">
        <f t="array" ref="E60">IF(SUM(COUNTIF($G60:$ZZ60,{"y","Sa","Su"})),MAX(IF($G60:$ZZ60="y",$G$1:$ZZ$1,""), IF($G60:$ZZ60="Sa",$G$1:$ZZ$1,""),  IF($G60:$ZZ60="Su",$G$1:$ZZ$1,"")),"")</f>
        <v>42567</v>
      </c>
      <c r="F60" s="265">
        <f t="shared" ca="1" si="65"/>
        <v>4</v>
      </c>
      <c r="G60" s="248"/>
      <c r="H60" s="248"/>
      <c r="I60" s="248"/>
      <c r="J60" s="248" t="s">
        <v>139</v>
      </c>
      <c r="K60" s="248"/>
      <c r="L60" s="248"/>
      <c r="M60" s="248"/>
      <c r="N60" s="248"/>
      <c r="O60" s="248"/>
      <c r="P60" s="248"/>
      <c r="Q60" s="285"/>
      <c r="R60" s="285" t="s">
        <v>139</v>
      </c>
      <c r="S60" s="285"/>
      <c r="T60" s="285"/>
      <c r="U60" s="287"/>
      <c r="V60" s="285" t="s">
        <v>139</v>
      </c>
      <c r="W60" s="287"/>
      <c r="X60" s="287"/>
      <c r="Y60" s="285"/>
      <c r="Z60" s="287"/>
      <c r="AA60" s="285" t="s">
        <v>139</v>
      </c>
      <c r="AB60" s="286"/>
      <c r="AC60" s="286"/>
      <c r="AD60" s="286"/>
      <c r="AE60" s="286"/>
      <c r="AF60" s="288" t="s">
        <v>139</v>
      </c>
      <c r="AG60" s="286"/>
      <c r="AH60" s="286"/>
      <c r="AI60" s="286"/>
      <c r="AJ60" s="288" t="s">
        <v>139</v>
      </c>
      <c r="AK60" s="286"/>
      <c r="AO60" s="290" t="s">
        <v>139</v>
      </c>
      <c r="AP60" s="294"/>
      <c r="AQ60" s="294"/>
      <c r="AR60" s="294"/>
      <c r="AS60" s="294"/>
      <c r="AT60" s="295" t="s">
        <v>139</v>
      </c>
      <c r="AU60" s="294"/>
      <c r="AV60" s="294"/>
      <c r="AW60" s="294"/>
      <c r="AZ60" s="290" t="s">
        <v>139</v>
      </c>
      <c r="BE60" s="290" t="s">
        <v>213</v>
      </c>
      <c r="BF60" s="290"/>
      <c r="BI60" s="290" t="s">
        <v>213</v>
      </c>
      <c r="BL60" s="290" t="s">
        <v>214</v>
      </c>
      <c r="BO60" s="290" t="s">
        <v>214</v>
      </c>
      <c r="BR60" s="290" t="s">
        <v>214</v>
      </c>
      <c r="BT60" s="290" t="s">
        <v>214</v>
      </c>
      <c r="BX60" s="290"/>
      <c r="BY60" s="290" t="s">
        <v>214</v>
      </c>
      <c r="CD60" s="290"/>
      <c r="CE60" s="290" t="s">
        <v>214</v>
      </c>
      <c r="CK60" s="290" t="s">
        <v>214</v>
      </c>
      <c r="CP60" s="290" t="s">
        <v>214</v>
      </c>
      <c r="CT60" s="290" t="s">
        <v>214</v>
      </c>
      <c r="CX60" s="290" t="s">
        <v>225</v>
      </c>
      <c r="CY60" s="290" t="s">
        <v>213</v>
      </c>
      <c r="DD60" s="290" t="s">
        <v>213</v>
      </c>
      <c r="DE60" s="290" t="s">
        <v>225</v>
      </c>
      <c r="DF60" s="290"/>
    </row>
    <row r="61" spans="1:110" s="249" customFormat="1" hidden="1" x14ac:dyDescent="0.2">
      <c r="A61" s="246" t="s">
        <v>88</v>
      </c>
      <c r="B61" s="247" t="s">
        <v>153</v>
      </c>
      <c r="C61" s="247" t="s">
        <v>31</v>
      </c>
      <c r="D61" s="255" t="s">
        <v>141</v>
      </c>
      <c r="E61" s="264">
        <f t="array" ref="E61">IF(SUM(COUNTIF($G61:$ZZ61,{"y","Sa","Su"})),MAX(IF($G61:$ZZ61="y",$G$1:$ZZ$1,""), IF($G61:$ZZ61="Sa",$G$1:$ZZ$1,""),  IF($G61:$ZZ61="Su",$G$1:$ZZ$1,"")),"")</f>
        <v>42175</v>
      </c>
      <c r="F61" s="265">
        <f t="shared" ca="1" si="65"/>
        <v>60</v>
      </c>
      <c r="G61" s="248"/>
      <c r="H61" s="248" t="s">
        <v>139</v>
      </c>
      <c r="I61" s="248"/>
      <c r="J61" s="248" t="s">
        <v>139</v>
      </c>
      <c r="K61" s="248"/>
      <c r="L61" s="248"/>
      <c r="M61" s="248"/>
      <c r="N61" s="248"/>
      <c r="O61" s="248"/>
      <c r="P61" s="248" t="s">
        <v>139</v>
      </c>
      <c r="Q61" s="285"/>
      <c r="R61" s="285"/>
      <c r="S61" s="285"/>
      <c r="T61" s="285" t="s">
        <v>139</v>
      </c>
      <c r="U61" s="287"/>
      <c r="V61" s="287"/>
      <c r="W61" s="287"/>
      <c r="X61" s="287"/>
      <c r="Y61" s="285"/>
      <c r="Z61" s="285" t="s">
        <v>139</v>
      </c>
      <c r="AA61" s="287"/>
      <c r="AB61" s="286"/>
      <c r="AC61" s="286"/>
      <c r="AD61" s="286"/>
      <c r="AE61" s="288" t="s">
        <v>139</v>
      </c>
      <c r="AF61" s="286"/>
      <c r="AG61" s="286"/>
      <c r="AH61" s="286"/>
      <c r="AI61" s="288" t="s">
        <v>139</v>
      </c>
      <c r="AJ61" s="286"/>
      <c r="AK61" s="286"/>
      <c r="AM61" s="290" t="s">
        <v>139</v>
      </c>
      <c r="AN61" s="249" t="s">
        <v>163</v>
      </c>
      <c r="AP61" s="294"/>
      <c r="AQ61" s="295" t="s">
        <v>139</v>
      </c>
      <c r="AR61" s="294"/>
      <c r="AS61" s="294"/>
      <c r="AT61" s="295" t="s">
        <v>139</v>
      </c>
      <c r="AU61" s="294"/>
      <c r="AV61" s="294"/>
      <c r="AW61" s="295" t="s">
        <v>139</v>
      </c>
      <c r="AZ61" s="290" t="s">
        <v>139</v>
      </c>
    </row>
    <row r="62" spans="1:110" s="249" customFormat="1" hidden="1" x14ac:dyDescent="0.2">
      <c r="A62" s="246" t="s">
        <v>234</v>
      </c>
      <c r="B62" s="247" t="s">
        <v>220</v>
      </c>
      <c r="C62" s="247" t="s">
        <v>39</v>
      </c>
      <c r="D62" s="255" t="s">
        <v>142</v>
      </c>
      <c r="E62" s="264">
        <f t="array" ref="E62">IF(SUM(COUNTIF($G62:$ZZ62,{"y","Sa","Su"})),MAX(IF($G62:$ZZ62="y",$G$1:$ZZ$1,""), IF($G62:$ZZ62="Sa",$G$1:$ZZ$1,""),  IF($G62:$ZZ62="Su",$G$1:$ZZ$1,"")),"")</f>
        <v>42476</v>
      </c>
      <c r="F62" s="265">
        <f t="shared" ca="1" si="65"/>
        <v>17</v>
      </c>
      <c r="G62" s="248"/>
      <c r="H62" s="248"/>
      <c r="I62" s="248"/>
      <c r="J62" s="248"/>
      <c r="K62" s="248"/>
      <c r="L62" s="248"/>
      <c r="M62" s="248"/>
      <c r="N62" s="248"/>
      <c r="O62" s="248"/>
      <c r="P62" s="248"/>
      <c r="Q62" s="285"/>
      <c r="R62" s="285"/>
      <c r="S62" s="285"/>
      <c r="T62" s="285"/>
      <c r="U62" s="287"/>
      <c r="V62" s="287"/>
      <c r="W62" s="287"/>
      <c r="X62" s="287"/>
      <c r="Y62" s="285"/>
      <c r="Z62" s="285"/>
      <c r="AA62" s="287"/>
      <c r="AB62" s="286"/>
      <c r="AC62" s="286"/>
      <c r="AD62" s="286"/>
      <c r="AE62" s="288"/>
      <c r="AF62" s="286"/>
      <c r="AG62" s="286"/>
      <c r="AH62" s="286"/>
      <c r="AI62" s="288"/>
      <c r="AJ62" s="286"/>
      <c r="AK62" s="286"/>
      <c r="AM62" s="290"/>
      <c r="AP62" s="294"/>
      <c r="AQ62" s="295"/>
      <c r="AR62" s="294"/>
      <c r="AS62" s="294"/>
      <c r="AT62" s="295"/>
      <c r="AU62" s="294"/>
      <c r="AV62" s="294"/>
      <c r="AW62" s="295"/>
      <c r="AZ62" s="290"/>
      <c r="CN62" s="290" t="s">
        <v>213</v>
      </c>
      <c r="CO62" s="290"/>
      <c r="CQ62" s="290" t="s">
        <v>214</v>
      </c>
      <c r="CV62" s="290"/>
    </row>
    <row r="63" spans="1:110" s="249" customFormat="1" hidden="1" x14ac:dyDescent="0.2">
      <c r="A63" s="246" t="s">
        <v>75</v>
      </c>
      <c r="B63" s="247" t="s">
        <v>153</v>
      </c>
      <c r="C63" s="247" t="s">
        <v>31</v>
      </c>
      <c r="D63" s="255" t="s">
        <v>137</v>
      </c>
      <c r="E63" s="264" t="str">
        <f t="array" ref="E63">IF(SUM(COUNTIF($G63:$ZZ63,{"y","Sa","Su"})),MAX(IF($G63:$ZZ63="y",$G$1:$ZZ$1,""), IF($G63:$ZZ63="Sa",$G$1:$ZZ$1,""),  IF($G63:$ZZ63="Su",$G$1:$ZZ$1,"")),"")</f>
        <v/>
      </c>
      <c r="F63" s="265" t="str">
        <f t="shared" ca="1" si="65"/>
        <v>Static shift</v>
      </c>
      <c r="G63" s="248"/>
      <c r="H63" s="248"/>
      <c r="I63" s="248" t="s">
        <v>138</v>
      </c>
      <c r="J63" s="248"/>
      <c r="K63" s="248"/>
      <c r="L63" s="248" t="s">
        <v>138</v>
      </c>
      <c r="M63" s="248" t="s">
        <v>138</v>
      </c>
      <c r="N63" s="248"/>
      <c r="O63" s="248"/>
      <c r="P63" s="248" t="s">
        <v>138</v>
      </c>
      <c r="Q63" s="285"/>
      <c r="R63" s="285"/>
      <c r="S63" s="285"/>
      <c r="T63" s="285"/>
      <c r="U63" s="286"/>
      <c r="V63" s="286"/>
      <c r="W63" s="286"/>
      <c r="X63" s="286"/>
      <c r="Y63" s="286"/>
      <c r="Z63" s="286"/>
      <c r="AA63" s="286"/>
      <c r="AB63" s="286"/>
      <c r="AC63" s="286"/>
      <c r="AD63" s="286"/>
      <c r="AE63" s="286"/>
      <c r="AF63" s="286"/>
      <c r="AG63" s="286"/>
      <c r="AH63" s="286"/>
      <c r="AI63" s="286"/>
      <c r="AJ63" s="286"/>
      <c r="AK63" s="286"/>
      <c r="AP63" s="294"/>
      <c r="AQ63" s="294"/>
      <c r="AR63" s="294"/>
      <c r="AS63" s="294"/>
    </row>
    <row r="64" spans="1:110" s="249" customFormat="1" x14ac:dyDescent="0.2">
      <c r="A64" s="252" t="s">
        <v>261</v>
      </c>
      <c r="B64" s="247" t="s">
        <v>118</v>
      </c>
      <c r="C64" s="247" t="s">
        <v>39</v>
      </c>
      <c r="D64" s="255" t="s">
        <v>143</v>
      </c>
      <c r="E64" s="264">
        <f t="array" ref="E64">IF(SUM(COUNTIF($G64:$ZZ64,{"y","Sa","Su"})),MAX(IF($G64:$ZZ64="y",$G$1:$ZZ$1,""), IF($G64:$ZZ64="Sa",$G$1:$ZZ$1,""),  IF($G64:$ZZ64="Su",$G$1:$ZZ$1,"")),"")</f>
        <v>42581</v>
      </c>
      <c r="F64" s="265">
        <f t="shared" ca="1" si="65"/>
        <v>2</v>
      </c>
      <c r="G64" s="248"/>
      <c r="H64" s="248"/>
      <c r="I64" s="248"/>
      <c r="J64" s="248"/>
      <c r="K64" s="248"/>
      <c r="L64" s="248"/>
      <c r="M64" s="248"/>
      <c r="N64" s="248"/>
      <c r="O64" s="248"/>
      <c r="P64" s="248"/>
      <c r="Q64" s="248"/>
      <c r="R64" s="248"/>
      <c r="S64" s="248"/>
      <c r="T64" s="248"/>
      <c r="AP64" s="294"/>
      <c r="AQ64" s="294"/>
      <c r="AR64" s="294"/>
      <c r="AS64" s="294"/>
      <c r="CF64" s="290" t="s">
        <v>214</v>
      </c>
      <c r="CK64" s="328"/>
      <c r="CL64" s="328"/>
      <c r="CO64" s="290" t="s">
        <v>214</v>
      </c>
      <c r="CQ64" s="290" t="s">
        <v>225</v>
      </c>
      <c r="CU64" s="290" t="s">
        <v>214</v>
      </c>
      <c r="CW64" s="290" t="s">
        <v>225</v>
      </c>
      <c r="CZ64" s="290" t="s">
        <v>214</v>
      </c>
      <c r="DA64" s="290" t="s">
        <v>225</v>
      </c>
      <c r="DF64" s="290" t="s">
        <v>214</v>
      </c>
    </row>
    <row r="65" spans="1:111" s="249" customFormat="1" x14ac:dyDescent="0.2">
      <c r="A65" s="252" t="s">
        <v>211</v>
      </c>
      <c r="B65" s="247" t="s">
        <v>72</v>
      </c>
      <c r="C65" s="247" t="s">
        <v>39</v>
      </c>
      <c r="D65" s="256" t="s">
        <v>143</v>
      </c>
      <c r="E65" s="264">
        <f t="array" ref="E65">IF(SUM(COUNTIF($G65:$ZZ65,{"y","Sa","Su"})),MAX(IF($G65:$ZZ65="y",$G$1:$ZZ$1,""), IF($G65:$ZZ65="Sa",$G$1:$ZZ$1,""),  IF($G65:$ZZ65="Su",$G$1:$ZZ$1,"")),"")</f>
        <v>42574</v>
      </c>
      <c r="F65" s="265">
        <f t="shared" ca="1" si="65"/>
        <v>3</v>
      </c>
      <c r="G65" s="248"/>
      <c r="H65" s="248"/>
      <c r="I65" s="248"/>
      <c r="J65" s="248"/>
      <c r="K65" s="248"/>
      <c r="L65" s="248"/>
      <c r="M65" s="248"/>
      <c r="N65" s="248"/>
      <c r="O65" s="248"/>
      <c r="P65" s="248"/>
      <c r="Q65" s="248"/>
      <c r="R65" s="248"/>
      <c r="S65" s="248"/>
      <c r="T65" s="248"/>
      <c r="AP65" s="294"/>
      <c r="BY65" s="290" t="s">
        <v>214</v>
      </c>
      <c r="CD65" s="290" t="s">
        <v>214</v>
      </c>
      <c r="CJ65" s="290" t="s">
        <v>214</v>
      </c>
      <c r="CO65" s="290" t="s">
        <v>213</v>
      </c>
      <c r="CT65" s="290" t="s">
        <v>214</v>
      </c>
      <c r="CX65" s="290"/>
      <c r="CZ65" s="290" t="s">
        <v>213</v>
      </c>
      <c r="DE65" s="290" t="s">
        <v>214</v>
      </c>
    </row>
    <row r="66" spans="1:111" s="249" customFormat="1" hidden="1" x14ac:dyDescent="0.2">
      <c r="A66" s="246" t="s">
        <v>128</v>
      </c>
      <c r="B66" s="247" t="s">
        <v>12</v>
      </c>
      <c r="C66" s="247" t="s">
        <v>39</v>
      </c>
      <c r="D66" s="255" t="s">
        <v>141</v>
      </c>
      <c r="E66" s="264">
        <f t="array" ref="E66">IF(SUM(COUNTIF($G66:$ZZ66,{"y","Sa","Su"})),MAX(IF($G66:$ZZ66="y",$G$1:$ZZ$1,""), IF($G66:$ZZ66="Sa",$G$1:$ZZ$1,""),  IF($G66:$ZZ66="Su",$G$1:$ZZ$1,"")),"")</f>
        <v>42126</v>
      </c>
      <c r="F66" s="265">
        <f t="shared" ca="1" si="65"/>
        <v>67</v>
      </c>
      <c r="G66" s="248"/>
      <c r="H66" s="248"/>
      <c r="I66" s="248"/>
      <c r="J66" s="248"/>
      <c r="K66" s="248"/>
      <c r="L66" s="248"/>
      <c r="M66" s="248"/>
      <c r="N66" s="248"/>
      <c r="O66" s="248"/>
      <c r="P66" s="248"/>
      <c r="Q66" s="285"/>
      <c r="R66" s="285"/>
      <c r="S66" s="285"/>
      <c r="T66" s="285"/>
      <c r="U66" s="287"/>
      <c r="V66" s="287"/>
      <c r="W66" s="287"/>
      <c r="X66" s="287"/>
      <c r="Y66" s="287"/>
      <c r="Z66" s="285"/>
      <c r="AA66" s="287"/>
      <c r="AB66" s="286"/>
      <c r="AC66" s="286"/>
      <c r="AD66" s="286"/>
      <c r="AE66" s="286"/>
      <c r="AF66" s="286"/>
      <c r="AG66" s="286"/>
      <c r="AH66" s="288" t="s">
        <v>139</v>
      </c>
      <c r="AI66" s="286"/>
      <c r="AJ66" s="286"/>
      <c r="AK66" s="286"/>
      <c r="AL66" s="290"/>
      <c r="AM66" s="290" t="s">
        <v>139</v>
      </c>
      <c r="AP66" s="294"/>
      <c r="AQ66" s="295" t="s">
        <v>139</v>
      </c>
      <c r="AR66" s="294"/>
      <c r="AS66" s="295" t="s">
        <v>139</v>
      </c>
      <c r="AT66" s="294"/>
      <c r="AU66" s="294"/>
      <c r="AV66" s="294"/>
      <c r="AW66" s="294"/>
    </row>
    <row r="67" spans="1:111" s="249" customFormat="1" x14ac:dyDescent="0.2">
      <c r="A67" s="252" t="s">
        <v>205</v>
      </c>
      <c r="B67" s="247" t="s">
        <v>72</v>
      </c>
      <c r="C67" s="247" t="s">
        <v>39</v>
      </c>
      <c r="D67" s="256" t="s">
        <v>143</v>
      </c>
      <c r="E67" s="264">
        <f t="array" ref="E67">IF(SUM(COUNTIF($G67:$ZZ67,{"y","Sa","Su"})),MAX(IF($G67:$ZZ67="y",$G$1:$ZZ$1,""), IF($G67:$ZZ67="Sa",$G$1:$ZZ$1,""),  IF($G67:$ZZ67="Su",$G$1:$ZZ$1,"")),"")</f>
        <v>42581</v>
      </c>
      <c r="F67" s="265">
        <f t="shared" ca="1" si="65"/>
        <v>2</v>
      </c>
      <c r="G67" s="248"/>
      <c r="H67" s="248"/>
      <c r="I67" s="248"/>
      <c r="J67" s="248"/>
      <c r="K67" s="248"/>
      <c r="L67" s="248"/>
      <c r="M67" s="248"/>
      <c r="N67" s="248"/>
      <c r="O67" s="248"/>
      <c r="P67" s="248"/>
      <c r="Q67" s="248"/>
      <c r="R67" s="248"/>
      <c r="S67" s="248"/>
      <c r="T67" s="248"/>
      <c r="AP67" s="294"/>
      <c r="AQ67" s="294"/>
      <c r="AR67" s="294"/>
      <c r="AS67" s="294"/>
      <c r="BI67" s="290"/>
      <c r="BX67" s="290" t="s">
        <v>214</v>
      </c>
      <c r="CB67" s="290" t="s">
        <v>213</v>
      </c>
      <c r="CH67" s="290"/>
      <c r="CI67" s="290" t="s">
        <v>213</v>
      </c>
      <c r="CO67" s="290"/>
      <c r="CP67" s="290" t="s">
        <v>214</v>
      </c>
      <c r="CU67" s="290" t="s">
        <v>213</v>
      </c>
      <c r="CX67" s="290"/>
      <c r="CZ67" s="290" t="s">
        <v>214</v>
      </c>
      <c r="DE67" s="290" t="s">
        <v>213</v>
      </c>
      <c r="DF67" s="290" t="s">
        <v>214</v>
      </c>
    </row>
    <row r="68" spans="1:111" s="249" customFormat="1" hidden="1" x14ac:dyDescent="0.2">
      <c r="A68" s="246" t="s">
        <v>156</v>
      </c>
      <c r="B68" s="247" t="s">
        <v>72</v>
      </c>
      <c r="C68" s="247" t="s">
        <v>207</v>
      </c>
      <c r="D68" s="255" t="s">
        <v>142</v>
      </c>
      <c r="E68" s="264">
        <f t="array" ref="E68">IF(SUM(COUNTIF($G68:$ZZ68,{"y","Sa","Su"})),MAX(IF($G68:$ZZ68="y",$G$1:$ZZ$1,""), IF($G68:$ZZ68="Sa",$G$1:$ZZ$1,""),  IF($G68:$ZZ68="Su",$G$1:$ZZ$1,"")),"")</f>
        <v>42168</v>
      </c>
      <c r="F68" s="265">
        <f t="shared" ca="1" si="65"/>
        <v>61</v>
      </c>
      <c r="G68" s="248"/>
      <c r="H68" s="248"/>
      <c r="I68" s="248"/>
      <c r="J68" s="248" t="s">
        <v>139</v>
      </c>
      <c r="K68" s="248"/>
      <c r="L68" s="248" t="s">
        <v>139</v>
      </c>
      <c r="M68" s="248"/>
      <c r="N68" s="248"/>
      <c r="O68" s="248"/>
      <c r="P68" s="248"/>
      <c r="Q68" s="285"/>
      <c r="R68" s="285"/>
      <c r="S68" s="285" t="s">
        <v>139</v>
      </c>
      <c r="T68" s="285"/>
      <c r="U68" s="287"/>
      <c r="V68" s="287"/>
      <c r="W68" s="285" t="s">
        <v>139</v>
      </c>
      <c r="X68" s="287"/>
      <c r="Y68" s="287"/>
      <c r="Z68" s="287"/>
      <c r="AA68" s="287"/>
      <c r="AB68" s="288" t="s">
        <v>139</v>
      </c>
      <c r="AC68" s="286"/>
      <c r="AD68" s="288" t="s">
        <v>139</v>
      </c>
      <c r="AE68" s="286"/>
      <c r="AF68" s="286"/>
      <c r="AG68" s="286"/>
      <c r="AH68" s="288" t="s">
        <v>139</v>
      </c>
      <c r="AI68" s="288"/>
      <c r="AJ68" s="288" t="s">
        <v>139</v>
      </c>
      <c r="AK68" s="286"/>
      <c r="AN68" s="290" t="s">
        <v>139</v>
      </c>
      <c r="AO68" s="290"/>
      <c r="AP68" s="294"/>
      <c r="AQ68" s="295" t="s">
        <v>139</v>
      </c>
      <c r="AR68" s="294"/>
      <c r="AS68" s="294"/>
      <c r="AT68" s="294"/>
      <c r="AU68" s="295" t="s">
        <v>139</v>
      </c>
      <c r="AV68" s="294"/>
      <c r="AW68" s="294"/>
      <c r="AY68" s="290" t="s">
        <v>139</v>
      </c>
      <c r="BB68" s="290"/>
    </row>
    <row r="69" spans="1:111" s="249" customFormat="1" x14ac:dyDescent="0.2">
      <c r="A69" s="252" t="s">
        <v>264</v>
      </c>
      <c r="B69" s="247" t="s">
        <v>118</v>
      </c>
      <c r="C69" s="247" t="s">
        <v>31</v>
      </c>
      <c r="D69" s="256" t="s">
        <v>143</v>
      </c>
      <c r="E69" s="264">
        <f t="array" ref="E69">IF(SUM(COUNTIF($G69:$ZZ69,{"y","Sa","Su"})),MAX(IF($G69:$ZZ69="y",$G$1:$ZZ$1,""), IF($G69:$ZZ69="Sa",$G$1:$ZZ$1,""),  IF($G69:$ZZ69="Su",$G$1:$ZZ$1,"")),"")</f>
        <v>42588</v>
      </c>
      <c r="F69" s="265">
        <f t="shared" ca="1" si="65"/>
        <v>1</v>
      </c>
      <c r="G69" s="248"/>
      <c r="H69" s="248"/>
      <c r="I69" s="248"/>
      <c r="J69" s="248"/>
      <c r="K69" s="248"/>
      <c r="L69" s="248"/>
      <c r="M69" s="248"/>
      <c r="N69" s="248"/>
      <c r="O69" s="248"/>
      <c r="P69" s="248"/>
      <c r="Q69" s="248"/>
      <c r="R69" s="248"/>
      <c r="S69" s="248"/>
      <c r="T69" s="248"/>
      <c r="AP69" s="294"/>
      <c r="AQ69" s="294"/>
      <c r="AR69" s="294"/>
      <c r="AS69" s="294"/>
      <c r="AT69" s="290" t="s">
        <v>162</v>
      </c>
      <c r="AX69" s="290" t="s">
        <v>139</v>
      </c>
      <c r="BC69" s="290" t="s">
        <v>139</v>
      </c>
      <c r="BF69" s="290"/>
      <c r="BG69" s="290"/>
      <c r="BH69" s="290" t="s">
        <v>213</v>
      </c>
      <c r="BK69" s="249" t="s">
        <v>214</v>
      </c>
      <c r="BN69" s="290" t="s">
        <v>214</v>
      </c>
      <c r="BO69" s="290"/>
      <c r="BR69" s="290" t="s">
        <v>214</v>
      </c>
      <c r="BT69" s="290"/>
      <c r="BV69" s="290" t="s">
        <v>214</v>
      </c>
      <c r="BZ69" s="249" t="s">
        <v>213</v>
      </c>
      <c r="CF69" s="290"/>
      <c r="CG69" s="290" t="s">
        <v>214</v>
      </c>
      <c r="CL69" s="328" t="s">
        <v>214</v>
      </c>
      <c r="CP69" s="290" t="s">
        <v>213</v>
      </c>
      <c r="CS69" s="290" t="s">
        <v>225</v>
      </c>
      <c r="CU69" s="290" t="s">
        <v>214</v>
      </c>
      <c r="CV69" s="290" t="s">
        <v>225</v>
      </c>
      <c r="CZ69" s="290" t="s">
        <v>213</v>
      </c>
      <c r="DA69" s="290"/>
      <c r="DD69" s="290" t="s">
        <v>225</v>
      </c>
      <c r="DG69" s="290" t="s">
        <v>213</v>
      </c>
    </row>
    <row r="70" spans="1:111" s="249" customFormat="1" hidden="1" x14ac:dyDescent="0.2">
      <c r="A70" s="246" t="s">
        <v>77</v>
      </c>
      <c r="B70" s="247" t="s">
        <v>118</v>
      </c>
      <c r="C70" s="247" t="s">
        <v>31</v>
      </c>
      <c r="D70" s="255" t="s">
        <v>141</v>
      </c>
      <c r="E70" s="264">
        <f t="array" ref="E70">IF(SUM(COUNTIF($G70:$ZZ70,{"y","Sa","Su"})),MAX(IF($G70:$ZZ70="y",$G$1:$ZZ$1,""), IF($G70:$ZZ70="Sa",$G$1:$ZZ$1,""),  IF($G70:$ZZ70="Su",$G$1:$ZZ$1,"")),"")</f>
        <v>42210</v>
      </c>
      <c r="F70" s="265">
        <f t="shared" ref="F70:F82" ca="1" si="66">IF(D70="Static shift", "Static shift", IF(E70&lt;&gt;"", INT((TODAY()-E70)/7),"No past shifts"))</f>
        <v>55</v>
      </c>
      <c r="G70" s="248" t="s">
        <v>139</v>
      </c>
      <c r="H70" s="248"/>
      <c r="I70" s="248"/>
      <c r="J70" s="248" t="s">
        <v>139</v>
      </c>
      <c r="K70" s="248"/>
      <c r="L70" s="248"/>
      <c r="M70" s="248"/>
      <c r="N70" s="248" t="s">
        <v>138</v>
      </c>
      <c r="O70" s="248"/>
      <c r="P70" s="248"/>
      <c r="Q70" s="285"/>
      <c r="R70" s="285" t="s">
        <v>139</v>
      </c>
      <c r="S70" s="285"/>
      <c r="T70" s="285"/>
      <c r="U70" s="287"/>
      <c r="V70" s="287"/>
      <c r="W70" s="285" t="s">
        <v>138</v>
      </c>
      <c r="X70" s="287"/>
      <c r="Y70" s="287"/>
      <c r="Z70" s="285" t="s">
        <v>138</v>
      </c>
      <c r="AA70" s="285" t="s">
        <v>138</v>
      </c>
      <c r="AB70" s="286"/>
      <c r="AC70" s="288" t="s">
        <v>138</v>
      </c>
      <c r="AD70" s="286"/>
      <c r="AE70" s="288" t="s">
        <v>138</v>
      </c>
      <c r="AF70" s="286"/>
      <c r="AG70" s="288" t="s">
        <v>138</v>
      </c>
      <c r="AH70" s="286"/>
      <c r="AI70" s="286"/>
      <c r="AJ70" s="286"/>
      <c r="AK70" s="286"/>
      <c r="AP70" s="294"/>
      <c r="AQ70" s="294"/>
      <c r="AR70" s="295" t="s">
        <v>139</v>
      </c>
      <c r="AS70" s="294"/>
      <c r="AT70" s="294"/>
      <c r="AU70" s="294"/>
      <c r="AV70" s="295" t="s">
        <v>138</v>
      </c>
      <c r="AW70" s="295"/>
      <c r="AX70" s="290" t="s">
        <v>139</v>
      </c>
      <c r="BA70" s="290" t="s">
        <v>139</v>
      </c>
      <c r="BD70" s="290" t="s">
        <v>139</v>
      </c>
      <c r="BE70" s="290" t="s">
        <v>139</v>
      </c>
    </row>
    <row r="71" spans="1:111" s="249" customFormat="1" x14ac:dyDescent="0.2">
      <c r="A71" s="246" t="s">
        <v>121</v>
      </c>
      <c r="B71" s="247" t="s">
        <v>153</v>
      </c>
      <c r="C71" s="247" t="s">
        <v>31</v>
      </c>
      <c r="D71" s="255" t="s">
        <v>143</v>
      </c>
      <c r="E71" s="264">
        <f t="array" ref="E71">IF(SUM(COUNTIF($G71:$ZZ71,{"y","Sa","Su"})),MAX(IF($G71:$ZZ71="y",$G$1:$ZZ$1,""), IF($G71:$ZZ71="Sa",$G$1:$ZZ$1,""),  IF($G71:$ZZ71="Su",$G$1:$ZZ$1,"")),"")</f>
        <v>42588</v>
      </c>
      <c r="F71" s="265">
        <f t="shared" ca="1" si="66"/>
        <v>1</v>
      </c>
      <c r="G71" s="248"/>
      <c r="H71" s="248"/>
      <c r="I71" s="248"/>
      <c r="J71" s="248"/>
      <c r="K71" s="248" t="s">
        <v>139</v>
      </c>
      <c r="L71" s="248"/>
      <c r="M71" s="248"/>
      <c r="N71" s="248"/>
      <c r="O71" s="248"/>
      <c r="P71" s="248" t="s">
        <v>139</v>
      </c>
      <c r="Q71" s="285"/>
      <c r="R71" s="285"/>
      <c r="S71" s="285"/>
      <c r="T71" s="285"/>
      <c r="U71" s="285" t="s">
        <v>139</v>
      </c>
      <c r="V71" s="287"/>
      <c r="W71" s="287"/>
      <c r="X71" s="287"/>
      <c r="Y71" s="285" t="s">
        <v>139</v>
      </c>
      <c r="Z71" s="287"/>
      <c r="AA71" s="287"/>
      <c r="AB71" s="286"/>
      <c r="AC71" s="286"/>
      <c r="AD71" s="288" t="s">
        <v>139</v>
      </c>
      <c r="AE71" s="288" t="s">
        <v>139</v>
      </c>
      <c r="AF71" s="286"/>
      <c r="AG71" s="286"/>
      <c r="AH71" s="286"/>
      <c r="AI71" s="288" t="s">
        <v>139</v>
      </c>
      <c r="AJ71" s="286"/>
      <c r="AK71" s="286"/>
      <c r="AN71" s="290" t="s">
        <v>139</v>
      </c>
      <c r="AP71" s="294"/>
      <c r="AQ71" s="294"/>
      <c r="AR71" s="294"/>
      <c r="AS71" s="294"/>
      <c r="AT71" s="294"/>
      <c r="AU71" s="295" t="s">
        <v>139</v>
      </c>
      <c r="AV71" s="294"/>
      <c r="AW71" s="294"/>
      <c r="BA71" s="290" t="s">
        <v>139</v>
      </c>
      <c r="BF71" s="290" t="s">
        <v>213</v>
      </c>
      <c r="BI71" s="290" t="s">
        <v>213</v>
      </c>
      <c r="BL71" s="290"/>
      <c r="BN71" s="290" t="s">
        <v>214</v>
      </c>
      <c r="BS71" s="290" t="s">
        <v>214</v>
      </c>
      <c r="BV71" s="290" t="s">
        <v>213</v>
      </c>
      <c r="BZ71" s="249" t="s">
        <v>213</v>
      </c>
      <c r="CF71" s="249" t="s">
        <v>214</v>
      </c>
      <c r="CG71" s="290" t="s">
        <v>225</v>
      </c>
      <c r="CL71" s="328" t="s">
        <v>213</v>
      </c>
      <c r="CP71" s="290" t="s">
        <v>213</v>
      </c>
      <c r="CU71" s="290" t="s">
        <v>213</v>
      </c>
      <c r="CZ71" s="290" t="s">
        <v>214</v>
      </c>
      <c r="DA71" s="290"/>
      <c r="DB71" s="290" t="s">
        <v>213</v>
      </c>
      <c r="DE71" s="290"/>
      <c r="DG71" s="290" t="s">
        <v>213</v>
      </c>
    </row>
    <row r="72" spans="1:111" s="249" customFormat="1" hidden="1" x14ac:dyDescent="0.2">
      <c r="A72" s="246" t="s">
        <v>215</v>
      </c>
      <c r="B72" s="247" t="s">
        <v>153</v>
      </c>
      <c r="C72" s="247" t="s">
        <v>39</v>
      </c>
      <c r="D72" s="255" t="s">
        <v>142</v>
      </c>
      <c r="E72" s="264">
        <f t="array" ref="E72">IF(SUM(COUNTIF($G72:$ZZ72,{"y","Sa","Su"})),MAX(IF($G72:$ZZ72="y",$G$1:$ZZ$1,""), IF($G72:$ZZ72="Sa",$G$1:$ZZ$1,""),  IF($G72:$ZZ72="Su",$G$1:$ZZ$1,"")),"")</f>
        <v>42462</v>
      </c>
      <c r="F72" s="265">
        <f t="shared" ca="1" si="66"/>
        <v>19</v>
      </c>
      <c r="G72" s="248"/>
      <c r="H72" s="248"/>
      <c r="I72" s="248"/>
      <c r="J72" s="248"/>
      <c r="K72" s="248"/>
      <c r="L72" s="248"/>
      <c r="M72" s="248"/>
      <c r="N72" s="248"/>
      <c r="O72" s="248"/>
      <c r="P72" s="248"/>
      <c r="Q72" s="285"/>
      <c r="R72" s="285"/>
      <c r="S72" s="285"/>
      <c r="T72" s="285"/>
      <c r="U72" s="287"/>
      <c r="V72" s="287"/>
      <c r="W72" s="287"/>
      <c r="X72" s="287"/>
      <c r="Y72" s="287"/>
      <c r="Z72" s="285"/>
      <c r="AA72" s="287"/>
      <c r="AB72" s="286"/>
      <c r="AC72" s="286"/>
      <c r="AD72" s="286"/>
      <c r="AE72" s="286"/>
      <c r="AF72" s="286"/>
      <c r="AG72" s="286"/>
      <c r="AH72" s="288"/>
      <c r="AI72" s="286"/>
      <c r="AJ72" s="286"/>
      <c r="AK72" s="286"/>
      <c r="AL72" s="290"/>
      <c r="AM72" s="290"/>
      <c r="AP72" s="294"/>
      <c r="AQ72" s="295"/>
      <c r="AR72" s="294"/>
      <c r="AS72" s="295"/>
      <c r="AT72" s="294"/>
      <c r="AU72" s="294"/>
      <c r="AV72" s="294"/>
      <c r="AW72" s="294"/>
      <c r="CB72" s="290" t="s">
        <v>214</v>
      </c>
      <c r="CC72" s="290"/>
      <c r="CJ72" s="290" t="s">
        <v>213</v>
      </c>
      <c r="CO72" s="290" t="s">
        <v>213</v>
      </c>
    </row>
    <row r="73" spans="1:111" s="249" customFormat="1" hidden="1" x14ac:dyDescent="0.2">
      <c r="A73" s="246" t="s">
        <v>85</v>
      </c>
      <c r="B73" s="247" t="s">
        <v>118</v>
      </c>
      <c r="C73" s="247" t="s">
        <v>31</v>
      </c>
      <c r="D73" s="255" t="s">
        <v>141</v>
      </c>
      <c r="E73" s="264">
        <f t="array" ref="E73">IF(SUM(COUNTIF($G73:$ZZ73,{"y","Sa","Su"})),MAX(IF($G73:$ZZ73="y",$G$1:$ZZ$1,""), IF($G73:$ZZ73="Sa",$G$1:$ZZ$1,""),  IF($G73:$ZZ73="Su",$G$1:$ZZ$1,"")),"")</f>
        <v>42203</v>
      </c>
      <c r="F73" s="265">
        <f t="shared" ca="1" si="66"/>
        <v>56</v>
      </c>
      <c r="G73" s="248"/>
      <c r="H73" s="248"/>
      <c r="I73" s="248"/>
      <c r="J73" s="248"/>
      <c r="K73" s="248"/>
      <c r="L73" s="248"/>
      <c r="M73" s="248"/>
      <c r="N73" s="248" t="s">
        <v>139</v>
      </c>
      <c r="O73" s="248"/>
      <c r="P73" s="248"/>
      <c r="Q73" s="285"/>
      <c r="R73" s="285"/>
      <c r="S73" s="285" t="s">
        <v>139</v>
      </c>
      <c r="T73" s="285"/>
      <c r="U73" s="287"/>
      <c r="V73" s="287"/>
      <c r="W73" s="285"/>
      <c r="X73" s="285" t="s">
        <v>139</v>
      </c>
      <c r="Y73" s="287"/>
      <c r="Z73" s="287"/>
      <c r="AA73" s="287"/>
      <c r="AB73" s="288" t="s">
        <v>139</v>
      </c>
      <c r="AC73" s="286"/>
      <c r="AD73" s="286"/>
      <c r="AE73" s="286"/>
      <c r="AF73" s="288" t="s">
        <v>139</v>
      </c>
      <c r="AG73" s="286"/>
      <c r="AH73" s="288"/>
      <c r="AI73" s="286"/>
      <c r="AJ73" s="286"/>
      <c r="AK73" s="288" t="s">
        <v>139</v>
      </c>
      <c r="AO73" s="290"/>
      <c r="AP73" s="294"/>
      <c r="AQ73" s="295" t="s">
        <v>139</v>
      </c>
      <c r="AR73" s="294"/>
      <c r="AS73" s="294"/>
      <c r="AT73" s="294"/>
      <c r="AU73" s="295" t="s">
        <v>139</v>
      </c>
      <c r="AV73" s="294"/>
      <c r="AW73" s="294"/>
      <c r="AX73" s="290" t="s">
        <v>139</v>
      </c>
      <c r="BA73" s="290" t="s">
        <v>139</v>
      </c>
      <c r="BD73" s="290" t="s">
        <v>139</v>
      </c>
      <c r="BE73" s="290"/>
    </row>
    <row r="74" spans="1:111" s="249" customFormat="1" hidden="1" x14ac:dyDescent="0.2">
      <c r="A74" s="246" t="s">
        <v>119</v>
      </c>
      <c r="B74" s="247" t="s">
        <v>118</v>
      </c>
      <c r="C74" s="247" t="s">
        <v>39</v>
      </c>
      <c r="D74" s="255" t="s">
        <v>141</v>
      </c>
      <c r="E74" s="264">
        <f t="array" ref="E74">IF(SUM(COUNTIF($G74:$ZZ74,{"y","Sa","Su"})),MAX(IF($G74:$ZZ74="y",$G$1:$ZZ$1,""), IF($G74:$ZZ74="Sa",$G$1:$ZZ$1,""),  IF($G74:$ZZ74="Su",$G$1:$ZZ$1,"")),"")</f>
        <v>41965</v>
      </c>
      <c r="F74" s="265">
        <f t="shared" ca="1" si="66"/>
        <v>90</v>
      </c>
      <c r="G74" s="248"/>
      <c r="H74" s="248"/>
      <c r="I74" s="248"/>
      <c r="J74" s="248"/>
      <c r="K74" s="248"/>
      <c r="L74" s="248" t="s">
        <v>139</v>
      </c>
      <c r="M74" s="248"/>
      <c r="N74" s="248"/>
      <c r="O74" s="248"/>
      <c r="P74" s="248" t="s">
        <v>139</v>
      </c>
      <c r="Q74" s="285"/>
      <c r="R74" s="285"/>
      <c r="S74" s="285"/>
      <c r="T74" s="285"/>
      <c r="U74" s="287"/>
      <c r="V74" s="287" t="s">
        <v>139</v>
      </c>
      <c r="W74" s="287"/>
      <c r="X74" s="287"/>
      <c r="Y74" s="286"/>
      <c r="Z74" s="286"/>
      <c r="AA74" s="286"/>
      <c r="AB74" s="286"/>
      <c r="AC74" s="286"/>
      <c r="AD74" s="286"/>
      <c r="AE74" s="286"/>
      <c r="AF74" s="286"/>
      <c r="AG74" s="286"/>
      <c r="AH74" s="286"/>
      <c r="AI74" s="286"/>
      <c r="AJ74" s="286"/>
      <c r="AK74" s="286"/>
    </row>
    <row r="75" spans="1:111" s="249" customFormat="1" hidden="1" x14ac:dyDescent="0.2">
      <c r="A75" s="246" t="s">
        <v>201</v>
      </c>
      <c r="B75" s="247" t="s">
        <v>165</v>
      </c>
      <c r="C75" s="247" t="s">
        <v>107</v>
      </c>
      <c r="D75" s="255" t="s">
        <v>141</v>
      </c>
      <c r="E75" s="264" t="str">
        <f t="array" ref="E75">IF(SUM(COUNTIF($G75:$ZZ75,{"y","Sa","Su"})),MAX(IF($G75:$ZZ75="y",$G$1:$ZZ$1,""), IF($G75:$ZZ75="Sa",$G$1:$ZZ$1,""),  IF($G75:$ZZ75="Su",$G$1:$ZZ$1,"")),"")</f>
        <v/>
      </c>
      <c r="F75" s="265" t="str">
        <f t="shared" ca="1" si="66"/>
        <v>No past shifts</v>
      </c>
      <c r="G75" s="248"/>
      <c r="H75" s="248"/>
      <c r="I75" s="248"/>
      <c r="J75" s="248"/>
      <c r="K75" s="248"/>
      <c r="L75" s="248"/>
      <c r="M75" s="248"/>
      <c r="N75" s="248"/>
      <c r="O75" s="248"/>
      <c r="P75" s="248"/>
      <c r="Q75" s="285"/>
      <c r="R75" s="285"/>
      <c r="S75" s="285"/>
      <c r="T75" s="285"/>
      <c r="U75" s="287"/>
      <c r="V75" s="287"/>
      <c r="W75" s="285"/>
      <c r="X75" s="285"/>
      <c r="Y75" s="287"/>
      <c r="Z75" s="287"/>
      <c r="AA75" s="287"/>
      <c r="AB75" s="288"/>
      <c r="AC75" s="286"/>
      <c r="AD75" s="286"/>
      <c r="AE75" s="286"/>
      <c r="AF75" s="288"/>
      <c r="AG75" s="286"/>
      <c r="AH75" s="288"/>
      <c r="AI75" s="286"/>
      <c r="AJ75" s="286"/>
      <c r="AK75" s="288"/>
      <c r="AO75" s="290"/>
      <c r="AP75" s="294"/>
      <c r="AQ75" s="295"/>
      <c r="AR75" s="294"/>
      <c r="AS75" s="294"/>
      <c r="AT75" s="294"/>
      <c r="AU75" s="295"/>
      <c r="AV75" s="294"/>
      <c r="AW75" s="294"/>
      <c r="AX75" s="290"/>
      <c r="BA75" s="290"/>
      <c r="BD75" s="290"/>
      <c r="BE75" s="290"/>
    </row>
    <row r="76" spans="1:111" s="249" customFormat="1" x14ac:dyDescent="0.2">
      <c r="A76" s="252" t="s">
        <v>257</v>
      </c>
      <c r="B76" s="247" t="s">
        <v>210</v>
      </c>
      <c r="C76" s="247" t="s">
        <v>39</v>
      </c>
      <c r="D76" s="256" t="s">
        <v>143</v>
      </c>
      <c r="E76" s="264">
        <f t="array" ref="E76">IF(SUM(COUNTIF($G76:$ZZ76,{"y","Sa","Su"})),MAX(IF($G76:$ZZ76="y",$G$1:$ZZ$1,""), IF($G76:$ZZ76="Sa",$G$1:$ZZ$1,""),  IF($G76:$ZZ76="Su",$G$1:$ZZ$1,"")),"")</f>
        <v>42560</v>
      </c>
      <c r="F76" s="265">
        <f t="shared" ca="1" si="66"/>
        <v>5</v>
      </c>
      <c r="G76" s="248"/>
      <c r="H76" s="248"/>
      <c r="I76" s="248"/>
      <c r="J76" s="248"/>
      <c r="K76" s="248"/>
      <c r="L76" s="248"/>
      <c r="M76" s="248"/>
      <c r="N76" s="248"/>
      <c r="O76" s="248"/>
      <c r="P76" s="248"/>
      <c r="Q76" s="248"/>
      <c r="R76" s="248"/>
      <c r="S76" s="248"/>
      <c r="T76" s="248"/>
      <c r="AP76" s="294"/>
      <c r="AQ76" s="294"/>
      <c r="AR76" s="294"/>
      <c r="AS76" s="294"/>
      <c r="BF76" s="290" t="s">
        <v>214</v>
      </c>
      <c r="BG76" s="290" t="s">
        <v>213</v>
      </c>
      <c r="BI76" s="290"/>
      <c r="BJ76" s="249" t="s">
        <v>214</v>
      </c>
      <c r="BM76" s="290" t="s">
        <v>213</v>
      </c>
      <c r="BP76" s="290" t="s">
        <v>213</v>
      </c>
      <c r="BR76" s="290" t="s">
        <v>214</v>
      </c>
      <c r="BV76" s="290" t="s">
        <v>214</v>
      </c>
      <c r="CA76" s="249" t="s">
        <v>214</v>
      </c>
      <c r="CG76" s="249" t="s">
        <v>214</v>
      </c>
      <c r="CK76" s="290" t="s">
        <v>213</v>
      </c>
      <c r="CP76" s="290" t="s">
        <v>214</v>
      </c>
      <c r="CQ76" s="290" t="s">
        <v>225</v>
      </c>
      <c r="CS76" s="290"/>
      <c r="CU76" s="290" t="s">
        <v>214</v>
      </c>
      <c r="CX76" s="290" t="s">
        <v>225</v>
      </c>
      <c r="CY76" s="290"/>
      <c r="DA76" s="290" t="s">
        <v>213</v>
      </c>
      <c r="DC76" s="290" t="s">
        <v>214</v>
      </c>
      <c r="DE76" s="290" t="s">
        <v>225</v>
      </c>
    </row>
    <row r="77" spans="1:111" s="249" customFormat="1" x14ac:dyDescent="0.2">
      <c r="A77" s="246" t="s">
        <v>226</v>
      </c>
      <c r="B77" s="247" t="s">
        <v>72</v>
      </c>
      <c r="C77" s="247" t="s">
        <v>39</v>
      </c>
      <c r="D77" s="255" t="s">
        <v>143</v>
      </c>
      <c r="E77" s="264">
        <f t="array" ref="E77">IF(SUM(COUNTIF($G77:$ZZ77,{"y","Sa","Su"})),MAX(IF($G77:$ZZ77="y",$G$1:$ZZ$1,""), IF($G77:$ZZ77="Sa",$G$1:$ZZ$1,""),  IF($G77:$ZZ77="Su",$G$1:$ZZ$1,"")),"")</f>
        <v>42588</v>
      </c>
      <c r="F77" s="265">
        <f t="shared" ca="1" si="66"/>
        <v>1</v>
      </c>
      <c r="G77" s="248"/>
      <c r="H77" s="248"/>
      <c r="I77" s="248"/>
      <c r="J77" s="248"/>
      <c r="K77" s="248"/>
      <c r="L77" s="248"/>
      <c r="M77" s="248"/>
      <c r="N77" s="248"/>
      <c r="O77" s="248"/>
      <c r="P77" s="248"/>
      <c r="Q77" s="285"/>
      <c r="R77" s="285"/>
      <c r="S77" s="285"/>
      <c r="T77" s="285"/>
      <c r="U77" s="287"/>
      <c r="V77" s="287"/>
      <c r="W77" s="287"/>
      <c r="X77" s="287"/>
      <c r="Y77" s="287"/>
      <c r="Z77" s="287"/>
      <c r="AA77" s="287"/>
      <c r="AB77" s="288"/>
      <c r="AC77" s="286"/>
      <c r="AD77" s="286"/>
      <c r="AE77" s="286"/>
      <c r="AF77" s="286"/>
      <c r="AG77" s="288"/>
      <c r="AH77" s="288"/>
      <c r="AI77" s="286"/>
      <c r="AJ77" s="286"/>
      <c r="AK77" s="288"/>
      <c r="AO77" s="290"/>
      <c r="AP77" s="294"/>
      <c r="AQ77" s="294"/>
      <c r="AR77" s="294"/>
      <c r="AS77" s="295"/>
      <c r="AT77" s="294"/>
      <c r="AU77" s="294"/>
      <c r="AV77" s="294"/>
      <c r="AW77" s="294"/>
      <c r="AY77" s="290"/>
      <c r="BE77" s="290"/>
      <c r="BH77" s="290"/>
      <c r="BL77" s="290"/>
      <c r="BN77" s="290"/>
      <c r="BQ77" s="290"/>
      <c r="BU77" s="290"/>
      <c r="BX77" s="290"/>
      <c r="BY77" s="290"/>
      <c r="CD77" s="290" t="s">
        <v>213</v>
      </c>
      <c r="CI77" s="290"/>
      <c r="CK77" s="328"/>
      <c r="CL77" s="290" t="s">
        <v>214</v>
      </c>
      <c r="CO77" s="290"/>
      <c r="CQ77" s="290" t="s">
        <v>214</v>
      </c>
      <c r="CU77" s="249" t="s">
        <v>213</v>
      </c>
      <c r="CX77" s="290" t="s">
        <v>214</v>
      </c>
      <c r="CZ77" s="290"/>
      <c r="DA77" s="290" t="s">
        <v>214</v>
      </c>
      <c r="DF77" s="290"/>
      <c r="DG77" s="290" t="s">
        <v>214</v>
      </c>
    </row>
    <row r="78" spans="1:111" s="249" customFormat="1" hidden="1" x14ac:dyDescent="0.2">
      <c r="A78" s="252" t="s">
        <v>157</v>
      </c>
      <c r="B78" s="247" t="s">
        <v>118</v>
      </c>
      <c r="C78" s="247" t="s">
        <v>39</v>
      </c>
      <c r="D78" s="255" t="s">
        <v>141</v>
      </c>
      <c r="E78" s="264">
        <f t="array" ref="E78">IF(SUM(COUNTIF($G78:$ZZ78,{"y","Sa","Su"})),MAX(IF($G78:$ZZ78="y",$G$1:$ZZ$1,""), IF($G78:$ZZ78="Sa",$G$1:$ZZ$1,""),  IF($G78:$ZZ78="Su",$G$1:$ZZ$1,"")),"")</f>
        <v>42238</v>
      </c>
      <c r="F78" s="265">
        <f t="shared" ca="1" si="66"/>
        <v>51</v>
      </c>
      <c r="G78" s="248"/>
      <c r="H78" s="248"/>
      <c r="I78" s="248"/>
      <c r="J78" s="248"/>
      <c r="K78" s="248"/>
      <c r="L78" s="248"/>
      <c r="M78" s="248"/>
      <c r="N78" s="248"/>
      <c r="O78" s="248"/>
      <c r="P78" s="248"/>
      <c r="Q78" s="248"/>
      <c r="R78" s="248"/>
      <c r="S78" s="248"/>
      <c r="T78" s="248"/>
      <c r="AN78" s="290"/>
      <c r="AO78" s="290" t="s">
        <v>139</v>
      </c>
      <c r="AP78" s="294"/>
      <c r="AQ78" s="294"/>
      <c r="AR78" s="294"/>
      <c r="AS78" s="294"/>
      <c r="AT78" s="294"/>
      <c r="AU78" s="295" t="s">
        <v>139</v>
      </c>
      <c r="AV78" s="294"/>
      <c r="AW78" s="294"/>
      <c r="BA78" s="290" t="s">
        <v>139</v>
      </c>
      <c r="BE78" s="290" t="s">
        <v>139</v>
      </c>
      <c r="BF78" s="290"/>
      <c r="BI78" s="290" t="s">
        <v>139</v>
      </c>
    </row>
    <row r="79" spans="1:111" s="249" customFormat="1" x14ac:dyDescent="0.2">
      <c r="A79" s="246" t="s">
        <v>109</v>
      </c>
      <c r="B79" s="247" t="s">
        <v>72</v>
      </c>
      <c r="C79" s="247" t="s">
        <v>39</v>
      </c>
      <c r="D79" s="255" t="s">
        <v>143</v>
      </c>
      <c r="E79" s="264">
        <f t="array" ref="E79">IF(SUM(COUNTIF($G79:$ZZ79,{"y","Sa","Su"})),MAX(IF($G79:$ZZ79="y",$G$1:$ZZ$1,""), IF($G79:$ZZ79="Sa",$G$1:$ZZ$1,""),  IF($G79:$ZZ79="Su",$G$1:$ZZ$1,"")),"")</f>
        <v>42581</v>
      </c>
      <c r="F79" s="265">
        <f t="shared" ca="1" si="66"/>
        <v>2</v>
      </c>
      <c r="G79" s="248"/>
      <c r="H79" s="248"/>
      <c r="I79" s="248"/>
      <c r="J79" s="248"/>
      <c r="K79" s="248"/>
      <c r="L79" s="248" t="s">
        <v>139</v>
      </c>
      <c r="M79" s="248"/>
      <c r="N79" s="248"/>
      <c r="O79" s="248"/>
      <c r="P79" s="248"/>
      <c r="Q79" s="285" t="s">
        <v>139</v>
      </c>
      <c r="R79" s="285"/>
      <c r="S79" s="285"/>
      <c r="T79" s="285"/>
      <c r="U79" s="287"/>
      <c r="V79" s="287" t="s">
        <v>139</v>
      </c>
      <c r="W79" s="287"/>
      <c r="X79" s="287"/>
      <c r="Y79" s="287"/>
      <c r="Z79" s="285"/>
      <c r="AA79" s="285" t="s">
        <v>139</v>
      </c>
      <c r="AB79" s="286"/>
      <c r="AC79" s="286"/>
      <c r="AD79" s="286"/>
      <c r="AE79" s="286"/>
      <c r="AF79" s="286"/>
      <c r="AG79" s="286"/>
      <c r="AH79" s="288" t="s">
        <v>139</v>
      </c>
      <c r="AI79" s="286"/>
      <c r="AJ79" s="286"/>
      <c r="AK79" s="286"/>
      <c r="AL79" s="290" t="s">
        <v>139</v>
      </c>
      <c r="AP79" s="295" t="s">
        <v>139</v>
      </c>
      <c r="AQ79" s="294"/>
      <c r="AR79" s="294"/>
      <c r="AS79" s="294"/>
      <c r="AT79" s="294"/>
      <c r="AU79" s="294"/>
      <c r="AV79" s="295" t="s">
        <v>139</v>
      </c>
      <c r="AW79" s="294"/>
      <c r="BC79" s="290" t="s">
        <v>139</v>
      </c>
      <c r="BF79" s="290"/>
      <c r="BG79" s="290" t="s">
        <v>213</v>
      </c>
      <c r="BI79" s="290"/>
      <c r="BJ79" s="249" t="s">
        <v>213</v>
      </c>
      <c r="BM79" s="249" t="s">
        <v>214</v>
      </c>
      <c r="BP79" s="290"/>
      <c r="BQ79" s="290" t="s">
        <v>214</v>
      </c>
      <c r="BW79" s="290" t="s">
        <v>214</v>
      </c>
      <c r="CB79" s="290" t="s">
        <v>213</v>
      </c>
      <c r="CH79" s="290" t="s">
        <v>214</v>
      </c>
      <c r="CL79" s="328"/>
      <c r="CM79" s="328" t="s">
        <v>214</v>
      </c>
      <c r="CR79" s="290" t="s">
        <v>213</v>
      </c>
      <c r="CU79" s="249" t="s">
        <v>214</v>
      </c>
      <c r="CZ79" s="290"/>
      <c r="DA79" s="290" t="s">
        <v>214</v>
      </c>
      <c r="DF79" s="290" t="s">
        <v>213</v>
      </c>
    </row>
    <row r="80" spans="1:111" s="249" customFormat="1" x14ac:dyDescent="0.2">
      <c r="A80" s="246" t="s">
        <v>260</v>
      </c>
      <c r="B80" s="247" t="s">
        <v>220</v>
      </c>
      <c r="C80" s="247" t="s">
        <v>39</v>
      </c>
      <c r="D80" s="255" t="s">
        <v>143</v>
      </c>
      <c r="E80" s="264">
        <f t="array" ref="E80">IF(SUM(COUNTIF($G80:$ZZ80,{"y","Sa","Su"})),MAX(IF($G80:$ZZ80="y",$G$1:$ZZ$1,""), IF($G80:$ZZ80="Sa",$G$1:$ZZ$1,""),  IF($G80:$ZZ80="Su",$G$1:$ZZ$1,"")),"")</f>
        <v>42588</v>
      </c>
      <c r="F80" s="265">
        <f t="shared" ca="1" si="66"/>
        <v>1</v>
      </c>
      <c r="G80" s="248"/>
      <c r="H80" s="248"/>
      <c r="I80" s="248"/>
      <c r="J80" s="248"/>
      <c r="K80" s="248"/>
      <c r="L80" s="248"/>
      <c r="M80" s="248"/>
      <c r="N80" s="248"/>
      <c r="O80" s="248"/>
      <c r="P80" s="248"/>
      <c r="Q80" s="285"/>
      <c r="R80" s="285"/>
      <c r="S80" s="285"/>
      <c r="T80" s="285"/>
      <c r="U80" s="287"/>
      <c r="V80" s="287"/>
      <c r="W80" s="287"/>
      <c r="X80" s="285"/>
      <c r="Y80" s="285"/>
      <c r="Z80" s="287"/>
      <c r="AA80" s="287"/>
      <c r="AB80" s="286"/>
      <c r="AC80" s="288"/>
      <c r="AD80" s="286"/>
      <c r="AE80" s="286"/>
      <c r="AF80" s="286"/>
      <c r="AG80" s="286"/>
      <c r="AH80" s="286"/>
      <c r="AI80" s="288"/>
      <c r="AJ80" s="286"/>
      <c r="AK80" s="286"/>
      <c r="AN80" s="290"/>
      <c r="AP80" s="294"/>
      <c r="AQ80" s="294"/>
      <c r="AR80" s="294"/>
      <c r="AS80" s="294"/>
      <c r="AT80" s="294"/>
      <c r="AU80" s="295"/>
      <c r="AV80" s="294"/>
      <c r="AW80" s="294"/>
      <c r="BA80" s="290"/>
      <c r="CA80" s="290" t="s">
        <v>214</v>
      </c>
      <c r="CB80" s="290" t="s">
        <v>214</v>
      </c>
      <c r="CH80" s="290" t="s">
        <v>214</v>
      </c>
      <c r="CK80" s="290" t="s">
        <v>214</v>
      </c>
      <c r="CQ80" s="290" t="s">
        <v>214</v>
      </c>
      <c r="CU80" s="290" t="s">
        <v>213</v>
      </c>
      <c r="CW80" s="290" t="s">
        <v>225</v>
      </c>
      <c r="DA80" s="290" t="s">
        <v>214</v>
      </c>
      <c r="DG80" s="290" t="s">
        <v>213</v>
      </c>
    </row>
    <row r="81" spans="1:110" s="249" customFormat="1" x14ac:dyDescent="0.2">
      <c r="A81" s="246" t="s">
        <v>233</v>
      </c>
      <c r="B81" s="247" t="s">
        <v>210</v>
      </c>
      <c r="C81" s="247" t="s">
        <v>39</v>
      </c>
      <c r="D81" s="255" t="s">
        <v>143</v>
      </c>
      <c r="E81" s="264">
        <f t="array" ref="E81">IF(SUM(COUNTIF($G81:$ZZ81,{"y","Sa","Su"})),MAX(IF($G81:$ZZ81="y",$G$1:$ZZ$1,""), IF($G81:$ZZ81="Sa",$G$1:$ZZ$1,""),  IF($G81:$ZZ81="Su",$G$1:$ZZ$1,"")),"")</f>
        <v>42581</v>
      </c>
      <c r="F81" s="265">
        <f t="shared" ca="1" si="66"/>
        <v>2</v>
      </c>
      <c r="G81" s="248"/>
      <c r="H81" s="248"/>
      <c r="I81" s="248"/>
      <c r="J81" s="248"/>
      <c r="K81" s="248"/>
      <c r="L81" s="248"/>
      <c r="M81" s="248"/>
      <c r="N81" s="248"/>
      <c r="O81" s="248"/>
      <c r="P81" s="248"/>
      <c r="Q81" s="285"/>
      <c r="R81" s="285"/>
      <c r="S81" s="285"/>
      <c r="T81" s="285"/>
      <c r="U81" s="287"/>
      <c r="V81" s="287"/>
      <c r="W81" s="287"/>
      <c r="X81" s="285"/>
      <c r="Y81" s="287"/>
      <c r="Z81" s="287"/>
      <c r="AA81" s="287"/>
      <c r="AB81" s="286"/>
      <c r="AC81" s="288"/>
      <c r="AD81" s="286"/>
      <c r="AE81" s="286"/>
      <c r="AF81" s="286"/>
      <c r="AG81" s="286"/>
      <c r="AH81" s="286"/>
      <c r="AI81" s="288"/>
      <c r="AJ81" s="286"/>
      <c r="AK81" s="286"/>
      <c r="AM81" s="290"/>
      <c r="AP81" s="294"/>
      <c r="AQ81" s="294"/>
      <c r="AR81" s="294"/>
      <c r="AS81" s="294"/>
      <c r="AT81" s="294"/>
      <c r="AU81" s="294"/>
      <c r="AV81" s="294"/>
      <c r="AW81" s="294"/>
      <c r="BE81" s="290"/>
      <c r="BF81" s="290"/>
      <c r="BH81" s="290"/>
      <c r="CO81" s="290" t="s">
        <v>214</v>
      </c>
      <c r="CU81" s="290" t="s">
        <v>214</v>
      </c>
      <c r="DA81" s="290" t="s">
        <v>213</v>
      </c>
      <c r="DF81" s="290" t="s">
        <v>213</v>
      </c>
    </row>
    <row r="82" spans="1:110" s="249" customFormat="1" hidden="1" x14ac:dyDescent="0.2">
      <c r="A82" s="246" t="s">
        <v>252</v>
      </c>
      <c r="B82" s="247" t="s">
        <v>220</v>
      </c>
      <c r="C82" s="247" t="s">
        <v>39</v>
      </c>
      <c r="D82" s="255" t="s">
        <v>142</v>
      </c>
      <c r="E82" s="264" t="str">
        <f t="array" ref="E82">IF(SUM(COUNTIF($G82:$ZZ82,{"y","Sa","Su"})),MAX(IF($G82:$ZZ82="y",$G$1:$ZZ$1,""), IF($G82:$ZZ82="Sa",$G$1:$ZZ$1,""),  IF($G82:$ZZ82="Su",$G$1:$ZZ$1,"")),"")</f>
        <v/>
      </c>
      <c r="F82" s="265" t="str">
        <f t="shared" ca="1" si="66"/>
        <v>No past shifts</v>
      </c>
      <c r="G82" s="248"/>
      <c r="H82" s="248"/>
      <c r="I82" s="248"/>
      <c r="J82" s="248"/>
      <c r="K82" s="248"/>
      <c r="L82" s="248"/>
      <c r="M82" s="248"/>
      <c r="N82" s="248"/>
      <c r="O82" s="248"/>
      <c r="P82" s="248"/>
      <c r="Q82" s="285"/>
      <c r="R82" s="285"/>
      <c r="S82" s="285"/>
      <c r="T82" s="285"/>
      <c r="U82" s="287"/>
      <c r="V82" s="287"/>
      <c r="W82" s="287"/>
      <c r="X82" s="285"/>
      <c r="Y82" s="287"/>
      <c r="Z82" s="287"/>
      <c r="AA82" s="287"/>
      <c r="AB82" s="286"/>
      <c r="AC82" s="288"/>
      <c r="AD82" s="286"/>
      <c r="AE82" s="286"/>
      <c r="AF82" s="286"/>
      <c r="AG82" s="286"/>
      <c r="AH82" s="286"/>
      <c r="AI82" s="288"/>
      <c r="AJ82" s="286"/>
      <c r="AK82" s="286"/>
      <c r="AM82" s="290"/>
      <c r="AP82" s="294"/>
      <c r="AQ82" s="294"/>
      <c r="AR82" s="294"/>
      <c r="AS82" s="294"/>
      <c r="AT82" s="294"/>
      <c r="AU82" s="294"/>
      <c r="AV82" s="294"/>
      <c r="AW82" s="294"/>
      <c r="BE82" s="290"/>
      <c r="BF82" s="290"/>
      <c r="BH82" s="290"/>
      <c r="CO82" s="290"/>
      <c r="CU82" s="290"/>
      <c r="DA82" s="290"/>
      <c r="DB82" s="290"/>
    </row>
    <row r="83" spans="1:110" s="249" customFormat="1" hidden="1" x14ac:dyDescent="0.2">
      <c r="A83" s="252"/>
      <c r="B83" s="316"/>
      <c r="C83" s="252"/>
      <c r="D83" s="256"/>
      <c r="E83" s="267"/>
      <c r="F83" s="266"/>
      <c r="G83" s="248"/>
      <c r="H83" s="248"/>
      <c r="I83" s="248"/>
      <c r="J83" s="248"/>
      <c r="K83" s="248"/>
      <c r="L83" s="248"/>
      <c r="M83" s="248"/>
      <c r="N83" s="248"/>
      <c r="O83" s="248"/>
      <c r="P83" s="248"/>
      <c r="Q83" s="248"/>
      <c r="R83" s="248"/>
      <c r="S83" s="248"/>
      <c r="T83" s="248"/>
      <c r="AP83" s="294"/>
      <c r="AQ83" s="294"/>
      <c r="AR83" s="294"/>
      <c r="AS83" s="294"/>
    </row>
    <row r="84" spans="1:110" s="249" customFormat="1" hidden="1" x14ac:dyDescent="0.2">
      <c r="A84" s="252"/>
      <c r="B84" s="316"/>
      <c r="C84" s="252"/>
      <c r="D84" s="256"/>
      <c r="E84" s="267"/>
      <c r="F84" s="266"/>
      <c r="G84" s="248"/>
      <c r="H84" s="248"/>
      <c r="I84" s="248"/>
      <c r="J84" s="248"/>
      <c r="K84" s="248"/>
      <c r="L84" s="248"/>
      <c r="M84" s="248"/>
      <c r="N84" s="248"/>
      <c r="O84" s="248"/>
      <c r="P84" s="248"/>
      <c r="Q84" s="248"/>
      <c r="R84" s="248"/>
      <c r="S84" s="248"/>
      <c r="T84" s="248"/>
      <c r="AP84" s="294"/>
      <c r="AQ84" s="294"/>
      <c r="AR84" s="294"/>
      <c r="AS84" s="294"/>
    </row>
    <row r="85" spans="1:110" s="249" customFormat="1" hidden="1" x14ac:dyDescent="0.2">
      <c r="A85" s="252"/>
      <c r="B85" s="316"/>
      <c r="C85" s="252"/>
      <c r="D85" s="256"/>
      <c r="E85" s="267"/>
      <c r="F85" s="266"/>
      <c r="G85" s="248"/>
      <c r="H85" s="248"/>
      <c r="I85" s="248"/>
      <c r="J85" s="248"/>
      <c r="K85" s="248"/>
      <c r="L85" s="248"/>
      <c r="M85" s="248"/>
      <c r="N85" s="248"/>
      <c r="O85" s="248"/>
      <c r="P85" s="248"/>
      <c r="Q85" s="248"/>
      <c r="R85" s="248"/>
      <c r="S85" s="248"/>
      <c r="T85" s="248"/>
      <c r="AP85" s="294"/>
      <c r="AQ85" s="294"/>
      <c r="AR85" s="294"/>
      <c r="AS85" s="294"/>
    </row>
    <row r="86" spans="1:110" s="249" customFormat="1" hidden="1" x14ac:dyDescent="0.2">
      <c r="A86" s="252"/>
      <c r="B86" s="316"/>
      <c r="C86" s="252"/>
      <c r="D86" s="256"/>
      <c r="E86" s="267"/>
      <c r="F86" s="266"/>
      <c r="G86" s="248"/>
      <c r="H86" s="248"/>
      <c r="I86" s="248"/>
      <c r="J86" s="248"/>
      <c r="K86" s="248"/>
      <c r="L86" s="248"/>
      <c r="M86" s="248"/>
      <c r="N86" s="248"/>
      <c r="O86" s="248"/>
      <c r="P86" s="248"/>
      <c r="Q86" s="248"/>
      <c r="R86" s="248"/>
      <c r="S86" s="248"/>
      <c r="T86" s="248"/>
      <c r="AP86" s="294"/>
      <c r="AQ86" s="294"/>
      <c r="AR86" s="294"/>
      <c r="AS86" s="294"/>
    </row>
    <row r="87" spans="1:110" s="249" customFormat="1" hidden="1" x14ac:dyDescent="0.2">
      <c r="A87" s="252"/>
      <c r="B87" s="316"/>
      <c r="C87" s="252"/>
      <c r="D87" s="256"/>
      <c r="E87" s="267"/>
      <c r="F87" s="266"/>
      <c r="G87" s="248"/>
      <c r="H87" s="248"/>
      <c r="I87" s="248"/>
      <c r="J87" s="248"/>
      <c r="K87" s="248"/>
      <c r="L87" s="248"/>
      <c r="M87" s="248"/>
      <c r="N87" s="248"/>
      <c r="O87" s="248"/>
      <c r="P87" s="248"/>
      <c r="Q87" s="248"/>
      <c r="R87" s="248"/>
      <c r="S87" s="248"/>
      <c r="T87" s="248"/>
      <c r="AP87" s="294"/>
      <c r="AQ87" s="294"/>
      <c r="AR87" s="294"/>
      <c r="AS87" s="294"/>
    </row>
    <row r="88" spans="1:110" s="249" customFormat="1" hidden="1" x14ac:dyDescent="0.2">
      <c r="A88" s="252"/>
      <c r="B88" s="316"/>
      <c r="C88" s="252"/>
      <c r="D88" s="256"/>
      <c r="E88" s="267"/>
      <c r="F88" s="266"/>
      <c r="G88" s="248"/>
      <c r="H88" s="248"/>
      <c r="I88" s="248"/>
      <c r="J88" s="248"/>
      <c r="K88" s="248"/>
      <c r="L88" s="248"/>
      <c r="M88" s="248"/>
      <c r="N88" s="248"/>
      <c r="O88" s="248"/>
      <c r="P88" s="248"/>
      <c r="Q88" s="248"/>
      <c r="R88" s="248"/>
      <c r="S88" s="248"/>
      <c r="T88" s="248"/>
      <c r="AP88" s="294"/>
      <c r="AQ88" s="294"/>
      <c r="AR88" s="294"/>
      <c r="AS88" s="294"/>
    </row>
    <row r="89" spans="1:110" s="249" customFormat="1" hidden="1" x14ac:dyDescent="0.2">
      <c r="A89" s="252"/>
      <c r="B89" s="316"/>
      <c r="C89" s="252"/>
      <c r="D89" s="256"/>
      <c r="E89" s="267"/>
      <c r="F89" s="266"/>
      <c r="G89" s="248"/>
      <c r="H89" s="248"/>
      <c r="I89" s="248"/>
      <c r="J89" s="248"/>
      <c r="K89" s="248"/>
      <c r="L89" s="248"/>
      <c r="M89" s="248"/>
      <c r="N89" s="248"/>
      <c r="O89" s="248"/>
      <c r="P89" s="248"/>
      <c r="Q89" s="248"/>
      <c r="R89" s="248"/>
      <c r="S89" s="248"/>
      <c r="T89" s="248"/>
      <c r="AP89" s="294"/>
      <c r="AQ89" s="294"/>
      <c r="AR89" s="294"/>
      <c r="AS89" s="294"/>
    </row>
    <row r="90" spans="1:110" s="249" customFormat="1" hidden="1" x14ac:dyDescent="0.2">
      <c r="A90" s="252"/>
      <c r="B90" s="316"/>
      <c r="C90" s="252"/>
      <c r="D90" s="256"/>
      <c r="E90" s="267"/>
      <c r="F90" s="266"/>
      <c r="G90" s="248"/>
      <c r="H90" s="248"/>
      <c r="I90" s="248"/>
      <c r="J90" s="248"/>
      <c r="K90" s="248"/>
      <c r="L90" s="248"/>
      <c r="M90" s="248"/>
      <c r="N90" s="248"/>
      <c r="O90" s="248"/>
      <c r="P90" s="248"/>
      <c r="Q90" s="248"/>
      <c r="R90" s="248"/>
      <c r="S90" s="248"/>
      <c r="T90" s="248"/>
      <c r="AP90" s="294"/>
      <c r="AQ90" s="294"/>
      <c r="AR90" s="294"/>
      <c r="AS90" s="294"/>
    </row>
    <row r="91" spans="1:110" s="249" customFormat="1" hidden="1" x14ac:dyDescent="0.2">
      <c r="A91" s="252"/>
      <c r="B91" s="316"/>
      <c r="C91" s="252"/>
      <c r="D91" s="256"/>
      <c r="E91" s="267"/>
      <c r="F91" s="266"/>
      <c r="G91" s="248"/>
      <c r="H91" s="248"/>
      <c r="I91" s="248"/>
      <c r="J91" s="248"/>
      <c r="K91" s="248"/>
      <c r="L91" s="248"/>
      <c r="M91" s="248"/>
      <c r="N91" s="248"/>
      <c r="O91" s="248"/>
      <c r="P91" s="248"/>
      <c r="Q91" s="248"/>
      <c r="R91" s="248"/>
      <c r="S91" s="248"/>
      <c r="T91" s="248"/>
      <c r="AP91" s="294"/>
      <c r="AQ91" s="295"/>
      <c r="AR91" s="295"/>
      <c r="AS91" s="294"/>
    </row>
    <row r="92" spans="1:110" s="249" customFormat="1" hidden="1" x14ac:dyDescent="0.2">
      <c r="A92" s="252"/>
      <c r="B92" s="316"/>
      <c r="C92" s="252"/>
      <c r="D92" s="256"/>
      <c r="E92" s="267"/>
      <c r="F92" s="266"/>
      <c r="G92" s="248"/>
      <c r="H92" s="248"/>
      <c r="I92" s="248"/>
      <c r="J92" s="248"/>
      <c r="K92" s="248"/>
      <c r="L92" s="248"/>
      <c r="M92" s="248"/>
      <c r="N92" s="248"/>
      <c r="O92" s="248"/>
      <c r="P92" s="248"/>
      <c r="Q92" s="248"/>
      <c r="R92" s="248"/>
      <c r="S92" s="248"/>
      <c r="T92" s="248"/>
      <c r="AP92" s="294"/>
      <c r="AQ92" s="294"/>
      <c r="AR92" s="294"/>
      <c r="AS92" s="294"/>
    </row>
    <row r="93" spans="1:110" s="249" customFormat="1" hidden="1" x14ac:dyDescent="0.2">
      <c r="A93" s="252"/>
      <c r="B93" s="316"/>
      <c r="C93" s="252"/>
      <c r="D93" s="256"/>
      <c r="E93" s="267"/>
      <c r="F93" s="266"/>
      <c r="G93" s="248"/>
      <c r="H93" s="248"/>
      <c r="I93" s="248"/>
      <c r="J93" s="248"/>
      <c r="K93" s="248"/>
      <c r="L93" s="248"/>
      <c r="M93" s="248"/>
      <c r="N93" s="248"/>
      <c r="O93" s="248"/>
      <c r="P93" s="248"/>
      <c r="Q93" s="248"/>
      <c r="R93" s="248"/>
      <c r="S93" s="248"/>
      <c r="T93" s="248"/>
      <c r="AP93" s="294"/>
      <c r="AQ93" s="294"/>
      <c r="AR93" s="294"/>
      <c r="AS93" s="294"/>
    </row>
    <row r="94" spans="1:110" s="249" customFormat="1" hidden="1" x14ac:dyDescent="0.2">
      <c r="A94" s="252"/>
      <c r="B94" s="316"/>
      <c r="C94" s="252"/>
      <c r="D94" s="256"/>
      <c r="E94" s="267"/>
      <c r="F94" s="266"/>
      <c r="G94" s="248"/>
      <c r="H94" s="248"/>
      <c r="I94" s="248"/>
      <c r="J94" s="248"/>
      <c r="K94" s="248"/>
      <c r="L94" s="248"/>
      <c r="M94" s="248"/>
      <c r="N94" s="248"/>
      <c r="O94" s="248"/>
      <c r="P94" s="248"/>
      <c r="Q94" s="248"/>
      <c r="R94" s="248"/>
      <c r="S94" s="248"/>
      <c r="T94" s="248"/>
      <c r="AP94" s="294"/>
      <c r="AQ94" s="294"/>
      <c r="AR94" s="294"/>
      <c r="AS94" s="294"/>
    </row>
    <row r="95" spans="1:110" s="249" customFormat="1" hidden="1" x14ac:dyDescent="0.2">
      <c r="A95" s="252"/>
      <c r="B95" s="316"/>
      <c r="C95" s="252"/>
      <c r="D95" s="256"/>
      <c r="E95" s="267"/>
      <c r="F95" s="266"/>
      <c r="G95" s="248"/>
      <c r="H95" s="248"/>
      <c r="I95" s="248"/>
      <c r="J95" s="248"/>
      <c r="K95" s="248"/>
      <c r="L95" s="248"/>
      <c r="M95" s="248"/>
      <c r="N95" s="248"/>
      <c r="O95" s="248"/>
      <c r="P95" s="248"/>
      <c r="Q95" s="248"/>
      <c r="R95" s="248"/>
      <c r="S95" s="248"/>
      <c r="T95" s="248"/>
      <c r="AP95" s="294"/>
      <c r="AQ95" s="295"/>
      <c r="AR95" s="295"/>
      <c r="AS95" s="295"/>
      <c r="AT95" s="290"/>
    </row>
    <row r="96" spans="1:110" s="249" customFormat="1" hidden="1" x14ac:dyDescent="0.2">
      <c r="A96" s="252"/>
      <c r="B96" s="316"/>
      <c r="C96" s="252"/>
      <c r="D96" s="256"/>
      <c r="E96" s="267"/>
      <c r="F96" s="266"/>
      <c r="G96" s="248"/>
      <c r="H96" s="248"/>
      <c r="I96" s="248"/>
      <c r="J96" s="248"/>
      <c r="K96" s="248"/>
      <c r="L96" s="248"/>
      <c r="M96" s="248"/>
      <c r="N96" s="248"/>
      <c r="O96" s="248"/>
      <c r="P96" s="248"/>
      <c r="Q96" s="248"/>
      <c r="R96" s="248"/>
      <c r="S96" s="248"/>
      <c r="T96" s="248"/>
      <c r="AP96" s="294"/>
      <c r="AQ96" s="294"/>
      <c r="AR96" s="294"/>
      <c r="AS96" s="294"/>
    </row>
    <row r="97" spans="1:45" s="249" customFormat="1" hidden="1" x14ac:dyDescent="0.2">
      <c r="A97" s="252"/>
      <c r="B97" s="316"/>
      <c r="C97" s="252"/>
      <c r="D97" s="256"/>
      <c r="E97" s="267"/>
      <c r="F97" s="266"/>
      <c r="G97" s="248"/>
      <c r="H97" s="248"/>
      <c r="I97" s="248"/>
      <c r="J97" s="248"/>
      <c r="K97" s="248"/>
      <c r="L97" s="248"/>
      <c r="M97" s="248"/>
      <c r="N97" s="248"/>
      <c r="O97" s="248"/>
      <c r="P97" s="248"/>
      <c r="Q97" s="248"/>
      <c r="R97" s="248"/>
      <c r="S97" s="248"/>
      <c r="T97" s="248"/>
      <c r="AP97" s="294"/>
      <c r="AQ97" s="294"/>
      <c r="AR97" s="294"/>
      <c r="AS97" s="294"/>
    </row>
    <row r="98" spans="1:45" s="249" customFormat="1" hidden="1" x14ac:dyDescent="0.2">
      <c r="A98" s="252"/>
      <c r="B98" s="316"/>
      <c r="C98" s="252"/>
      <c r="D98" s="256"/>
      <c r="E98" s="267"/>
      <c r="F98" s="266"/>
      <c r="G98" s="248"/>
      <c r="H98" s="248"/>
      <c r="I98" s="248"/>
      <c r="J98" s="248"/>
      <c r="K98" s="248"/>
      <c r="L98" s="248"/>
      <c r="M98" s="248"/>
      <c r="N98" s="248"/>
      <c r="O98" s="248"/>
      <c r="P98" s="248"/>
      <c r="Q98" s="248"/>
      <c r="R98" s="248"/>
      <c r="S98" s="248"/>
      <c r="T98" s="248"/>
      <c r="AP98" s="294"/>
      <c r="AQ98" s="294"/>
      <c r="AR98" s="294"/>
      <c r="AS98" s="294"/>
    </row>
    <row r="99" spans="1:45" s="249" customFormat="1" hidden="1" x14ac:dyDescent="0.2">
      <c r="A99" s="252"/>
      <c r="B99" s="316"/>
      <c r="C99" s="252"/>
      <c r="D99" s="256"/>
      <c r="E99" s="267"/>
      <c r="F99" s="266"/>
      <c r="G99" s="248"/>
      <c r="H99" s="248"/>
      <c r="I99" s="248"/>
      <c r="J99" s="248"/>
      <c r="K99" s="248"/>
      <c r="L99" s="248"/>
      <c r="M99" s="248"/>
      <c r="N99" s="248"/>
      <c r="O99" s="248"/>
      <c r="P99" s="248"/>
      <c r="Q99" s="248"/>
      <c r="R99" s="248"/>
      <c r="S99" s="248"/>
      <c r="T99" s="248"/>
      <c r="AP99" s="294"/>
      <c r="AQ99" s="294"/>
      <c r="AR99" s="294"/>
      <c r="AS99" s="294"/>
    </row>
    <row r="100" spans="1:45" s="249" customFormat="1" hidden="1" x14ac:dyDescent="0.2">
      <c r="A100" s="252"/>
      <c r="B100" s="316"/>
      <c r="C100" s="252"/>
      <c r="D100" s="256"/>
      <c r="E100" s="267"/>
      <c r="F100" s="266"/>
      <c r="G100" s="248"/>
      <c r="H100" s="248"/>
      <c r="I100" s="248"/>
      <c r="J100" s="248"/>
      <c r="K100" s="248"/>
      <c r="L100" s="248"/>
      <c r="M100" s="248"/>
      <c r="N100" s="248"/>
      <c r="O100" s="248"/>
      <c r="P100" s="248"/>
      <c r="Q100" s="248"/>
      <c r="R100" s="248"/>
      <c r="S100" s="248"/>
      <c r="T100" s="248"/>
      <c r="AP100" s="294"/>
      <c r="AQ100" s="294"/>
      <c r="AR100" s="294"/>
      <c r="AS100" s="294"/>
    </row>
    <row r="101" spans="1:45" s="249" customFormat="1" hidden="1" x14ac:dyDescent="0.2">
      <c r="A101" s="252"/>
      <c r="B101" s="316"/>
      <c r="C101" s="252"/>
      <c r="D101" s="256"/>
      <c r="E101" s="267"/>
      <c r="F101" s="266"/>
      <c r="G101" s="248"/>
      <c r="H101" s="248"/>
      <c r="I101" s="248"/>
      <c r="J101" s="248"/>
      <c r="K101" s="248"/>
      <c r="L101" s="248"/>
      <c r="M101" s="248"/>
      <c r="N101" s="248"/>
      <c r="O101" s="248"/>
      <c r="P101" s="248"/>
      <c r="Q101" s="248"/>
      <c r="R101" s="248"/>
      <c r="S101" s="248"/>
      <c r="T101" s="248"/>
      <c r="AP101" s="294"/>
      <c r="AQ101" s="294"/>
      <c r="AR101" s="294"/>
      <c r="AS101" s="294"/>
    </row>
    <row r="102" spans="1:45" s="249" customFormat="1" hidden="1" x14ac:dyDescent="0.2">
      <c r="A102" s="252"/>
      <c r="B102" s="316"/>
      <c r="C102" s="252"/>
      <c r="D102" s="256"/>
      <c r="E102" s="267"/>
      <c r="F102" s="266"/>
      <c r="G102" s="248"/>
      <c r="H102" s="248"/>
      <c r="I102" s="248"/>
      <c r="J102" s="248"/>
      <c r="K102" s="248"/>
      <c r="L102" s="248"/>
      <c r="M102" s="248"/>
      <c r="N102" s="248"/>
      <c r="O102" s="248"/>
      <c r="P102" s="248"/>
      <c r="Q102" s="248"/>
      <c r="R102" s="248"/>
      <c r="S102" s="248"/>
      <c r="T102" s="248"/>
      <c r="AP102" s="294"/>
      <c r="AQ102" s="294"/>
      <c r="AR102" s="294"/>
      <c r="AS102" s="294"/>
    </row>
    <row r="103" spans="1:45" s="249" customFormat="1" hidden="1" x14ac:dyDescent="0.2">
      <c r="A103" s="252"/>
      <c r="B103" s="316"/>
      <c r="C103" s="252"/>
      <c r="D103" s="256"/>
      <c r="E103" s="267"/>
      <c r="F103" s="266"/>
      <c r="G103" s="248"/>
      <c r="H103" s="248"/>
      <c r="I103" s="248"/>
      <c r="J103" s="248"/>
      <c r="K103" s="248"/>
      <c r="L103" s="248"/>
      <c r="M103" s="248"/>
      <c r="N103" s="248"/>
      <c r="O103" s="248"/>
      <c r="P103" s="248"/>
      <c r="Q103" s="248"/>
      <c r="R103" s="248"/>
      <c r="S103" s="248"/>
      <c r="T103" s="248"/>
      <c r="AP103" s="294"/>
      <c r="AQ103" s="294"/>
      <c r="AR103" s="294"/>
      <c r="AS103" s="294"/>
    </row>
    <row r="104" spans="1:45" s="249" customFormat="1" hidden="1" x14ac:dyDescent="0.2">
      <c r="A104" s="252"/>
      <c r="B104" s="316"/>
      <c r="C104" s="252"/>
      <c r="D104" s="256"/>
      <c r="E104" s="267"/>
      <c r="F104" s="266"/>
      <c r="G104" s="248"/>
      <c r="H104" s="248"/>
      <c r="I104" s="248"/>
      <c r="J104" s="248"/>
      <c r="K104" s="248"/>
      <c r="L104" s="248"/>
      <c r="M104" s="248"/>
      <c r="N104" s="248"/>
      <c r="O104" s="248"/>
      <c r="P104" s="248"/>
      <c r="Q104" s="248"/>
      <c r="R104" s="248"/>
      <c r="S104" s="248"/>
      <c r="T104" s="248"/>
      <c r="AP104" s="294"/>
      <c r="AQ104" s="294"/>
      <c r="AR104" s="294"/>
      <c r="AS104" s="294"/>
    </row>
    <row r="105" spans="1:45" s="249" customFormat="1" hidden="1" x14ac:dyDescent="0.2">
      <c r="A105" s="252"/>
      <c r="B105" s="316"/>
      <c r="C105" s="252"/>
      <c r="D105" s="256"/>
      <c r="E105" s="267"/>
      <c r="F105" s="266"/>
      <c r="G105" s="248"/>
      <c r="H105" s="248"/>
      <c r="I105" s="248"/>
      <c r="J105" s="248"/>
      <c r="K105" s="248"/>
      <c r="L105" s="248"/>
      <c r="M105" s="248"/>
      <c r="N105" s="248"/>
      <c r="O105" s="248"/>
      <c r="P105" s="248"/>
      <c r="Q105" s="248"/>
      <c r="R105" s="248"/>
      <c r="S105" s="248"/>
      <c r="T105" s="248"/>
      <c r="AP105" s="294"/>
      <c r="AQ105" s="294"/>
      <c r="AR105" s="294"/>
      <c r="AS105" s="294"/>
    </row>
    <row r="106" spans="1:45" s="249" customFormat="1" hidden="1" x14ac:dyDescent="0.2">
      <c r="A106" s="252"/>
      <c r="B106" s="316"/>
      <c r="C106" s="252"/>
      <c r="D106" s="256"/>
      <c r="E106" s="267"/>
      <c r="F106" s="266"/>
      <c r="G106" s="248"/>
      <c r="H106" s="248"/>
      <c r="I106" s="248"/>
      <c r="J106" s="248"/>
      <c r="K106" s="248"/>
      <c r="L106" s="248"/>
      <c r="M106" s="248"/>
      <c r="N106" s="248"/>
      <c r="O106" s="248"/>
      <c r="P106" s="248"/>
      <c r="Q106" s="248"/>
      <c r="R106" s="248"/>
      <c r="S106" s="248"/>
      <c r="T106" s="248"/>
      <c r="AP106" s="294"/>
      <c r="AQ106" s="294"/>
      <c r="AR106" s="294"/>
      <c r="AS106" s="294"/>
    </row>
    <row r="107" spans="1:45" s="249" customFormat="1" hidden="1" x14ac:dyDescent="0.2">
      <c r="A107" s="252"/>
      <c r="B107" s="316"/>
      <c r="C107" s="252"/>
      <c r="D107" s="256"/>
      <c r="E107" s="267"/>
      <c r="F107" s="266"/>
      <c r="G107" s="248"/>
      <c r="H107" s="248"/>
      <c r="I107" s="248"/>
      <c r="J107" s="248"/>
      <c r="K107" s="248"/>
      <c r="L107" s="248"/>
      <c r="M107" s="248"/>
      <c r="N107" s="248"/>
      <c r="O107" s="248"/>
      <c r="P107" s="248"/>
      <c r="Q107" s="248"/>
      <c r="R107" s="248"/>
      <c r="S107" s="248"/>
      <c r="T107" s="248"/>
      <c r="AP107" s="294"/>
      <c r="AQ107" s="294"/>
      <c r="AR107" s="294"/>
      <c r="AS107" s="294"/>
    </row>
    <row r="108" spans="1:45" s="249" customFormat="1" hidden="1" x14ac:dyDescent="0.2">
      <c r="A108" s="252"/>
      <c r="B108" s="316"/>
      <c r="C108" s="252"/>
      <c r="D108" s="256"/>
      <c r="E108" s="267"/>
      <c r="F108" s="266"/>
      <c r="G108" s="248"/>
      <c r="H108" s="248"/>
      <c r="I108" s="248"/>
      <c r="J108" s="248"/>
      <c r="K108" s="248"/>
      <c r="L108" s="248"/>
      <c r="M108" s="248"/>
      <c r="N108" s="248"/>
      <c r="O108" s="248"/>
      <c r="P108" s="248"/>
      <c r="Q108" s="248"/>
      <c r="R108" s="248"/>
      <c r="S108" s="248"/>
      <c r="T108" s="248"/>
      <c r="AP108" s="294"/>
      <c r="AQ108" s="294"/>
      <c r="AR108" s="294"/>
      <c r="AS108" s="294"/>
    </row>
    <row r="109" spans="1:45" s="251" customFormat="1" hidden="1" x14ac:dyDescent="0.2">
      <c r="A109" s="253"/>
      <c r="B109" s="317"/>
      <c r="C109" s="253"/>
      <c r="D109" s="257"/>
      <c r="E109" s="268"/>
      <c r="F109" s="269"/>
      <c r="G109" s="250"/>
      <c r="H109" s="250"/>
      <c r="I109" s="250"/>
      <c r="J109" s="250"/>
      <c r="K109" s="250"/>
      <c r="L109" s="250"/>
      <c r="M109" s="250"/>
      <c r="N109" s="250"/>
      <c r="O109" s="250"/>
      <c r="P109" s="250"/>
      <c r="Q109" s="250"/>
      <c r="R109" s="250"/>
      <c r="S109" s="250"/>
      <c r="T109" s="250"/>
      <c r="AP109" s="296"/>
      <c r="AQ109" s="296"/>
      <c r="AR109" s="296"/>
      <c r="AS109" s="296"/>
    </row>
    <row r="110" spans="1:45" hidden="1" x14ac:dyDescent="0.2">
      <c r="A110" s="240"/>
      <c r="B110" s="318"/>
      <c r="C110" s="240"/>
      <c r="D110" s="241"/>
      <c r="E110" s="270"/>
      <c r="F110" s="271"/>
      <c r="G110" s="239"/>
      <c r="H110" s="239"/>
      <c r="I110" s="239"/>
      <c r="J110" s="239"/>
      <c r="K110" s="239"/>
      <c r="L110" s="239"/>
      <c r="M110" s="239"/>
      <c r="N110" s="239"/>
      <c r="O110" s="239"/>
      <c r="P110" s="239"/>
      <c r="Q110" s="239"/>
      <c r="R110" s="239"/>
      <c r="S110" s="239"/>
      <c r="T110" s="239"/>
      <c r="U110"/>
      <c r="V110"/>
      <c r="W110"/>
      <c r="X110"/>
      <c r="Y110"/>
      <c r="Z110"/>
      <c r="AA110"/>
    </row>
    <row r="111" spans="1:45" hidden="1" x14ac:dyDescent="0.2">
      <c r="A111" s="240"/>
      <c r="B111" s="318"/>
      <c r="C111" s="240"/>
      <c r="D111" s="241"/>
      <c r="E111" s="270"/>
      <c r="F111" s="271"/>
      <c r="G111" s="239"/>
      <c r="H111" s="239"/>
      <c r="I111" s="239"/>
      <c r="J111" s="239"/>
      <c r="K111" s="239"/>
      <c r="L111" s="239"/>
      <c r="M111" s="239"/>
      <c r="N111" s="239"/>
      <c r="O111" s="239"/>
      <c r="P111" s="239"/>
      <c r="Q111" s="239"/>
      <c r="R111" s="239"/>
      <c r="S111" s="239"/>
      <c r="T111" s="239"/>
      <c r="U111"/>
      <c r="V111"/>
      <c r="W111"/>
      <c r="X111"/>
      <c r="Y111"/>
      <c r="Z111"/>
      <c r="AA111"/>
    </row>
    <row r="112" spans="1:45" hidden="1" x14ac:dyDescent="0.2">
      <c r="A112" s="240"/>
      <c r="B112" s="318"/>
      <c r="C112" s="240"/>
      <c r="D112" s="241"/>
      <c r="E112" s="270"/>
      <c r="F112" s="271"/>
      <c r="G112" s="239"/>
      <c r="H112" s="239"/>
      <c r="I112" s="239"/>
      <c r="J112" s="239"/>
      <c r="K112" s="239"/>
      <c r="L112" s="239"/>
      <c r="M112" s="239"/>
      <c r="N112" s="239"/>
      <c r="O112" s="239"/>
      <c r="P112" s="239"/>
      <c r="Q112" s="239"/>
      <c r="R112" s="239"/>
      <c r="S112" s="239"/>
      <c r="T112" s="239"/>
      <c r="U112"/>
      <c r="V112"/>
      <c r="W112"/>
      <c r="X112"/>
      <c r="Y112"/>
      <c r="Z112"/>
      <c r="AA112"/>
    </row>
    <row r="113" spans="1:27" hidden="1" x14ac:dyDescent="0.2">
      <c r="A113" s="240"/>
      <c r="B113" s="318"/>
      <c r="C113" s="240"/>
      <c r="D113" s="241"/>
      <c r="E113" s="270"/>
      <c r="F113" s="271"/>
      <c r="G113" s="239"/>
      <c r="H113" s="239"/>
      <c r="I113" s="239"/>
      <c r="J113" s="239"/>
      <c r="K113" s="239"/>
      <c r="L113" s="239"/>
      <c r="M113" s="239"/>
      <c r="N113" s="239"/>
      <c r="O113" s="239"/>
      <c r="P113" s="239"/>
      <c r="Q113" s="239"/>
      <c r="R113" s="239"/>
      <c r="S113" s="239"/>
      <c r="T113" s="239"/>
      <c r="U113"/>
      <c r="V113"/>
      <c r="W113"/>
      <c r="X113"/>
      <c r="Y113"/>
      <c r="Z113"/>
      <c r="AA113"/>
    </row>
    <row r="114" spans="1:27" hidden="1" x14ac:dyDescent="0.2">
      <c r="A114" s="240"/>
      <c r="B114" s="318"/>
      <c r="C114" s="240"/>
      <c r="D114" s="241"/>
      <c r="E114" s="270"/>
      <c r="F114" s="271"/>
      <c r="G114" s="239"/>
      <c r="H114" s="239"/>
      <c r="I114" s="239"/>
      <c r="J114" s="239"/>
      <c r="K114" s="239"/>
      <c r="L114" s="239"/>
      <c r="M114" s="239"/>
      <c r="N114" s="239"/>
      <c r="O114" s="239"/>
      <c r="P114" s="239"/>
      <c r="Q114" s="239"/>
      <c r="R114" s="239"/>
      <c r="S114" s="239"/>
      <c r="T114" s="239"/>
      <c r="U114"/>
      <c r="V114"/>
      <c r="W114"/>
      <c r="X114"/>
      <c r="Y114"/>
      <c r="Z114"/>
      <c r="AA114"/>
    </row>
    <row r="115" spans="1:27" hidden="1" x14ac:dyDescent="0.2">
      <c r="A115" s="240"/>
      <c r="B115" s="318"/>
      <c r="C115" s="240"/>
      <c r="D115" s="241"/>
      <c r="E115" s="270"/>
      <c r="F115" s="271"/>
      <c r="G115" s="239"/>
      <c r="H115" s="239"/>
      <c r="I115" s="239"/>
      <c r="J115" s="239"/>
      <c r="K115" s="239"/>
      <c r="L115" s="239"/>
      <c r="M115" s="239"/>
      <c r="N115" s="239"/>
      <c r="O115" s="239"/>
      <c r="P115" s="239"/>
      <c r="Q115" s="239"/>
      <c r="R115" s="239"/>
      <c r="S115" s="239"/>
      <c r="T115" s="239"/>
      <c r="U115"/>
      <c r="V115"/>
      <c r="W115"/>
      <c r="X115"/>
      <c r="Y115"/>
      <c r="Z115"/>
      <c r="AA115"/>
    </row>
    <row r="116" spans="1:27" hidden="1" x14ac:dyDescent="0.2">
      <c r="A116" s="240"/>
      <c r="B116" s="318"/>
      <c r="C116" s="240"/>
      <c r="D116" s="241"/>
      <c r="E116" s="270"/>
      <c r="F116" s="271"/>
      <c r="G116" s="239"/>
      <c r="H116" s="239"/>
      <c r="I116" s="239"/>
      <c r="J116" s="239"/>
      <c r="K116" s="239"/>
      <c r="L116" s="239"/>
      <c r="M116" s="239"/>
      <c r="N116" s="239"/>
      <c r="O116" s="239"/>
      <c r="P116" s="239"/>
      <c r="Q116" s="239"/>
      <c r="R116" s="239"/>
      <c r="S116" s="239"/>
      <c r="T116" s="239"/>
      <c r="U116"/>
      <c r="V116"/>
      <c r="W116"/>
      <c r="X116"/>
      <c r="Y116"/>
      <c r="Z116"/>
      <c r="AA116"/>
    </row>
    <row r="117" spans="1:27" hidden="1" x14ac:dyDescent="0.2">
      <c r="A117" s="240"/>
      <c r="B117" s="318"/>
      <c r="C117" s="240"/>
      <c r="D117" s="241"/>
      <c r="E117" s="270"/>
      <c r="F117" s="271"/>
      <c r="G117" s="239"/>
      <c r="H117" s="239"/>
      <c r="I117" s="239"/>
      <c r="J117" s="239"/>
      <c r="K117" s="239"/>
      <c r="L117" s="239"/>
      <c r="M117" s="239"/>
      <c r="N117" s="239"/>
      <c r="O117" s="239"/>
      <c r="P117" s="239"/>
      <c r="Q117" s="239"/>
      <c r="R117" s="239"/>
      <c r="S117" s="239"/>
      <c r="T117" s="239"/>
      <c r="U117"/>
      <c r="V117"/>
      <c r="W117"/>
      <c r="X117"/>
      <c r="Y117"/>
      <c r="Z117"/>
      <c r="AA117"/>
    </row>
    <row r="118" spans="1:27" hidden="1" x14ac:dyDescent="0.2">
      <c r="A118" s="240"/>
      <c r="B118" s="318"/>
      <c r="C118" s="240"/>
      <c r="D118" s="241"/>
      <c r="E118" s="270"/>
      <c r="F118" s="271"/>
      <c r="G118" s="239"/>
      <c r="H118" s="239"/>
      <c r="I118" s="239"/>
      <c r="J118" s="239"/>
      <c r="K118" s="239"/>
      <c r="L118" s="239"/>
      <c r="M118" s="239"/>
      <c r="N118" s="239"/>
      <c r="O118" s="239"/>
      <c r="P118" s="239"/>
      <c r="Q118" s="239"/>
      <c r="R118" s="239"/>
      <c r="S118" s="239"/>
      <c r="T118" s="239"/>
      <c r="U118"/>
      <c r="V118"/>
      <c r="W118"/>
      <c r="X118"/>
      <c r="Y118"/>
      <c r="Z118"/>
      <c r="AA118"/>
    </row>
    <row r="119" spans="1:27" hidden="1" x14ac:dyDescent="0.2">
      <c r="A119" s="240"/>
      <c r="B119" s="318"/>
      <c r="C119" s="240"/>
      <c r="D119" s="241"/>
      <c r="E119" s="270"/>
      <c r="F119" s="271"/>
      <c r="G119" s="239"/>
      <c r="H119" s="239"/>
      <c r="I119" s="239"/>
      <c r="J119" s="239"/>
      <c r="K119" s="239"/>
      <c r="L119" s="239"/>
      <c r="M119" s="239"/>
      <c r="N119" s="239"/>
      <c r="O119" s="239"/>
      <c r="P119" s="239"/>
      <c r="Q119" s="239"/>
      <c r="R119" s="239"/>
      <c r="S119" s="239"/>
      <c r="T119" s="239"/>
      <c r="U119"/>
      <c r="V119"/>
      <c r="W119"/>
      <c r="X119"/>
      <c r="Y119"/>
      <c r="Z119"/>
      <c r="AA119"/>
    </row>
    <row r="120" spans="1:27" hidden="1" x14ac:dyDescent="0.2">
      <c r="A120" s="240"/>
      <c r="B120" s="318"/>
      <c r="C120" s="240"/>
      <c r="D120" s="241"/>
      <c r="E120" s="270"/>
      <c r="F120" s="271"/>
      <c r="G120" s="239"/>
      <c r="H120" s="239"/>
      <c r="I120" s="239"/>
      <c r="J120" s="239"/>
      <c r="K120" s="239"/>
      <c r="L120" s="239"/>
      <c r="M120" s="239"/>
      <c r="N120" s="239"/>
      <c r="O120" s="239"/>
      <c r="P120" s="239"/>
      <c r="Q120" s="239"/>
      <c r="R120" s="239"/>
      <c r="S120" s="239"/>
      <c r="T120" s="239"/>
      <c r="U120"/>
      <c r="V120"/>
      <c r="W120"/>
      <c r="X120"/>
      <c r="Y120"/>
      <c r="Z120"/>
      <c r="AA120"/>
    </row>
    <row r="121" spans="1:27" hidden="1" x14ac:dyDescent="0.2">
      <c r="A121" s="240"/>
      <c r="B121" s="318"/>
      <c r="C121" s="240"/>
      <c r="D121" s="241"/>
      <c r="E121" s="270"/>
      <c r="F121" s="271"/>
      <c r="G121" s="239"/>
      <c r="H121" s="239"/>
      <c r="I121" s="239"/>
      <c r="J121" s="239"/>
      <c r="K121" s="239"/>
      <c r="L121" s="239"/>
      <c r="M121" s="239"/>
      <c r="N121" s="239"/>
      <c r="O121" s="239"/>
      <c r="P121" s="239"/>
      <c r="Q121" s="239"/>
      <c r="R121" s="239"/>
      <c r="S121" s="239"/>
      <c r="T121" s="239"/>
      <c r="U121"/>
      <c r="V121"/>
      <c r="W121"/>
      <c r="X121"/>
      <c r="Y121"/>
      <c r="Z121"/>
      <c r="AA121"/>
    </row>
    <row r="122" spans="1:27" hidden="1" x14ac:dyDescent="0.2">
      <c r="A122" s="240"/>
      <c r="B122" s="318"/>
      <c r="C122" s="240"/>
      <c r="D122" s="241"/>
      <c r="E122" s="270"/>
      <c r="F122" s="271"/>
      <c r="G122" s="239"/>
      <c r="H122" s="239"/>
      <c r="I122" s="239"/>
      <c r="J122" s="239"/>
      <c r="K122" s="239"/>
      <c r="L122" s="239"/>
      <c r="M122" s="239"/>
      <c r="N122" s="239"/>
      <c r="O122" s="239"/>
      <c r="P122" s="239"/>
      <c r="Q122" s="239"/>
      <c r="R122" s="239"/>
      <c r="S122" s="239"/>
      <c r="T122" s="239"/>
      <c r="U122"/>
      <c r="V122"/>
      <c r="W122"/>
      <c r="X122"/>
      <c r="Y122"/>
      <c r="Z122"/>
      <c r="AA122"/>
    </row>
    <row r="123" spans="1:27" hidden="1" x14ac:dyDescent="0.2">
      <c r="A123" s="240"/>
      <c r="B123" s="318"/>
      <c r="C123" s="240"/>
      <c r="D123" s="241"/>
      <c r="E123" s="270"/>
      <c r="F123" s="271"/>
      <c r="G123" s="239"/>
      <c r="H123" s="239"/>
      <c r="I123" s="239"/>
      <c r="J123" s="239"/>
      <c r="K123" s="239"/>
      <c r="L123" s="239"/>
      <c r="M123" s="239"/>
      <c r="N123" s="239"/>
      <c r="O123" s="239"/>
      <c r="P123" s="239"/>
      <c r="Q123" s="239"/>
      <c r="R123" s="239"/>
      <c r="S123" s="239"/>
      <c r="T123" s="239"/>
      <c r="U123"/>
      <c r="V123"/>
      <c r="W123"/>
      <c r="X123"/>
      <c r="Y123"/>
      <c r="Z123"/>
      <c r="AA123"/>
    </row>
    <row r="124" spans="1:27" hidden="1" x14ac:dyDescent="0.2">
      <c r="A124" s="240"/>
      <c r="B124" s="318"/>
      <c r="C124" s="240"/>
      <c r="D124" s="241"/>
      <c r="E124" s="270"/>
      <c r="F124" s="271"/>
      <c r="G124" s="239"/>
      <c r="H124" s="239"/>
      <c r="I124" s="239"/>
      <c r="J124" s="239"/>
      <c r="K124" s="239"/>
      <c r="L124" s="239"/>
      <c r="M124" s="239"/>
      <c r="N124" s="239"/>
      <c r="O124" s="239"/>
      <c r="P124" s="239"/>
      <c r="Q124" s="239"/>
      <c r="R124" s="239"/>
      <c r="S124" s="239"/>
      <c r="T124" s="239"/>
      <c r="U124"/>
      <c r="V124"/>
      <c r="W124"/>
      <c r="X124"/>
      <c r="Y124"/>
      <c r="Z124"/>
      <c r="AA124"/>
    </row>
    <row r="125" spans="1:27" hidden="1" x14ac:dyDescent="0.2">
      <c r="A125" s="240"/>
      <c r="B125" s="318"/>
      <c r="C125" s="240"/>
      <c r="D125" s="241"/>
      <c r="E125" s="270"/>
      <c r="F125" s="271"/>
      <c r="G125" s="239"/>
      <c r="H125" s="239"/>
      <c r="I125" s="239"/>
      <c r="J125" s="239"/>
      <c r="K125" s="239"/>
      <c r="L125" s="239"/>
      <c r="M125" s="239"/>
      <c r="N125" s="239"/>
      <c r="O125" s="239"/>
      <c r="P125" s="239"/>
      <c r="Q125" s="239"/>
      <c r="R125" s="239"/>
      <c r="S125" s="239"/>
      <c r="T125" s="239"/>
      <c r="U125"/>
      <c r="V125"/>
      <c r="W125"/>
      <c r="X125"/>
      <c r="Y125"/>
      <c r="Z125"/>
      <c r="AA125"/>
    </row>
    <row r="126" spans="1:27" hidden="1" x14ac:dyDescent="0.2">
      <c r="A126" s="240"/>
      <c r="B126" s="318"/>
      <c r="C126" s="240"/>
      <c r="D126" s="241"/>
      <c r="E126" s="270"/>
      <c r="F126" s="271"/>
      <c r="G126" s="239"/>
      <c r="H126" s="239"/>
      <c r="I126" s="239"/>
      <c r="J126" s="239"/>
      <c r="K126" s="239"/>
      <c r="L126" s="239"/>
      <c r="M126" s="239"/>
      <c r="N126" s="239"/>
      <c r="O126" s="239"/>
      <c r="P126" s="239"/>
      <c r="Q126" s="239"/>
      <c r="R126" s="239"/>
      <c r="S126" s="239"/>
      <c r="T126" s="239"/>
      <c r="U126"/>
      <c r="V126"/>
      <c r="W126"/>
      <c r="X126"/>
      <c r="Y126"/>
      <c r="Z126"/>
      <c r="AA126"/>
    </row>
    <row r="127" spans="1:27" hidden="1" x14ac:dyDescent="0.2">
      <c r="A127" s="240"/>
      <c r="B127" s="318"/>
      <c r="C127" s="240"/>
      <c r="D127" s="241"/>
      <c r="E127" s="270"/>
      <c r="F127" s="271"/>
      <c r="G127" s="239"/>
      <c r="H127" s="239"/>
      <c r="I127" s="239"/>
      <c r="J127" s="239"/>
      <c r="K127" s="239"/>
      <c r="L127" s="239"/>
      <c r="M127" s="239"/>
      <c r="N127" s="239"/>
      <c r="O127" s="239"/>
      <c r="P127" s="239"/>
      <c r="Q127" s="239"/>
      <c r="R127" s="239"/>
      <c r="S127" s="239"/>
      <c r="T127" s="239"/>
      <c r="U127"/>
      <c r="V127"/>
      <c r="W127"/>
      <c r="X127"/>
      <c r="Y127"/>
      <c r="Z127"/>
      <c r="AA127"/>
    </row>
    <row r="128" spans="1:27" hidden="1" x14ac:dyDescent="0.2">
      <c r="A128" s="240"/>
      <c r="B128" s="318"/>
      <c r="C128" s="240"/>
      <c r="D128" s="241"/>
      <c r="E128" s="270"/>
      <c r="F128" s="271"/>
      <c r="G128" s="239"/>
      <c r="H128" s="239"/>
      <c r="I128" s="239"/>
      <c r="J128" s="239"/>
      <c r="K128" s="239"/>
      <c r="L128" s="239"/>
      <c r="M128" s="239"/>
      <c r="N128" s="239"/>
      <c r="O128" s="239"/>
      <c r="P128" s="239"/>
      <c r="Q128" s="239"/>
      <c r="R128" s="239"/>
      <c r="S128" s="239"/>
      <c r="T128" s="239"/>
      <c r="U128"/>
      <c r="V128"/>
      <c r="W128"/>
      <c r="X128"/>
      <c r="Y128"/>
      <c r="Z128"/>
      <c r="AA128"/>
    </row>
    <row r="129" spans="1:27" hidden="1" x14ac:dyDescent="0.2">
      <c r="A129" s="240"/>
      <c r="B129" s="318"/>
      <c r="C129" s="240"/>
      <c r="D129" s="241"/>
      <c r="E129" s="270"/>
      <c r="F129" s="271"/>
      <c r="G129" s="239"/>
      <c r="H129" s="239"/>
      <c r="I129" s="239"/>
      <c r="J129" s="239"/>
      <c r="K129" s="239"/>
      <c r="L129" s="239"/>
      <c r="M129" s="239"/>
      <c r="N129" s="239"/>
      <c r="O129" s="239"/>
      <c r="P129" s="239"/>
      <c r="Q129" s="239"/>
      <c r="R129" s="239"/>
      <c r="S129" s="239"/>
      <c r="T129" s="239"/>
      <c r="U129"/>
      <c r="V129"/>
      <c r="W129"/>
      <c r="X129"/>
      <c r="Y129"/>
      <c r="Z129"/>
      <c r="AA129"/>
    </row>
    <row r="130" spans="1:27" hidden="1" x14ac:dyDescent="0.2">
      <c r="A130" s="240"/>
      <c r="B130" s="318"/>
      <c r="C130" s="240"/>
      <c r="D130" s="241"/>
      <c r="E130" s="270"/>
      <c r="F130" s="271"/>
      <c r="G130" s="239"/>
      <c r="H130" s="239"/>
      <c r="I130" s="239"/>
      <c r="J130" s="239"/>
      <c r="K130" s="239"/>
      <c r="L130" s="239"/>
      <c r="M130" s="239"/>
      <c r="N130" s="239"/>
      <c r="O130" s="239"/>
      <c r="P130" s="239"/>
      <c r="Q130" s="239"/>
      <c r="R130" s="239"/>
      <c r="S130" s="239"/>
      <c r="T130" s="239"/>
      <c r="U130"/>
      <c r="V130"/>
      <c r="W130"/>
      <c r="X130"/>
      <c r="Y130"/>
      <c r="Z130"/>
      <c r="AA130"/>
    </row>
    <row r="131" spans="1:27" hidden="1" x14ac:dyDescent="0.2">
      <c r="A131" s="240"/>
      <c r="B131" s="318"/>
      <c r="C131" s="240"/>
      <c r="D131" s="241"/>
      <c r="E131" s="270"/>
      <c r="F131" s="271"/>
      <c r="G131" s="239"/>
      <c r="H131" s="239"/>
      <c r="I131" s="239"/>
      <c r="J131" s="239"/>
      <c r="K131" s="239"/>
      <c r="L131" s="239"/>
      <c r="M131" s="239"/>
      <c r="N131" s="239"/>
      <c r="O131" s="239"/>
      <c r="P131" s="239"/>
      <c r="Q131" s="239"/>
      <c r="R131" s="239"/>
      <c r="S131" s="239"/>
      <c r="T131" s="239"/>
      <c r="U131"/>
      <c r="V131"/>
      <c r="W131"/>
      <c r="X131"/>
      <c r="Y131"/>
      <c r="Z131"/>
      <c r="AA131"/>
    </row>
    <row r="132" spans="1:27" hidden="1" x14ac:dyDescent="0.2">
      <c r="A132" s="240"/>
      <c r="B132" s="318"/>
      <c r="C132" s="240"/>
      <c r="D132" s="241"/>
      <c r="E132" s="270"/>
      <c r="F132" s="271"/>
      <c r="G132" s="239"/>
      <c r="H132" s="239"/>
      <c r="I132" s="239"/>
      <c r="J132" s="239"/>
      <c r="K132" s="239"/>
      <c r="L132" s="239"/>
      <c r="M132" s="239"/>
      <c r="N132" s="239"/>
      <c r="O132" s="239"/>
      <c r="P132" s="239"/>
      <c r="Q132" s="239"/>
      <c r="R132" s="239"/>
      <c r="S132" s="239"/>
      <c r="T132" s="239"/>
      <c r="U132"/>
      <c r="V132"/>
      <c r="W132"/>
      <c r="X132"/>
      <c r="Y132"/>
      <c r="Z132"/>
      <c r="AA132"/>
    </row>
    <row r="133" spans="1:27" hidden="1" x14ac:dyDescent="0.2">
      <c r="A133" s="240"/>
      <c r="B133" s="318"/>
      <c r="C133" s="240"/>
      <c r="D133" s="241"/>
      <c r="E133" s="270"/>
      <c r="F133" s="271"/>
      <c r="G133" s="239"/>
      <c r="H133" s="239"/>
      <c r="I133" s="239"/>
      <c r="J133" s="239"/>
      <c r="K133" s="239"/>
      <c r="L133" s="239"/>
      <c r="M133" s="239"/>
      <c r="N133" s="239"/>
      <c r="O133" s="239"/>
      <c r="P133" s="239"/>
      <c r="Q133" s="239"/>
      <c r="R133" s="239"/>
      <c r="S133" s="239"/>
      <c r="T133" s="239"/>
      <c r="U133"/>
      <c r="V133"/>
      <c r="W133"/>
      <c r="X133"/>
      <c r="Y133"/>
      <c r="Z133"/>
      <c r="AA133"/>
    </row>
    <row r="134" spans="1:27" hidden="1" x14ac:dyDescent="0.2">
      <c r="A134" s="240"/>
      <c r="B134" s="318"/>
      <c r="C134" s="240"/>
      <c r="D134" s="241"/>
      <c r="E134" s="270"/>
      <c r="F134" s="271"/>
      <c r="G134" s="239"/>
      <c r="H134" s="239"/>
      <c r="I134" s="239"/>
      <c r="J134" s="239"/>
      <c r="K134" s="239"/>
      <c r="L134" s="239"/>
      <c r="M134" s="239"/>
      <c r="N134" s="239"/>
      <c r="O134" s="239"/>
      <c r="P134" s="239"/>
      <c r="Q134" s="239"/>
      <c r="R134" s="239"/>
      <c r="S134" s="239"/>
      <c r="T134" s="239"/>
      <c r="U134"/>
      <c r="V134"/>
      <c r="W134"/>
      <c r="X134"/>
      <c r="Y134"/>
      <c r="Z134"/>
      <c r="AA134"/>
    </row>
    <row r="135" spans="1:27" hidden="1" x14ac:dyDescent="0.2">
      <c r="A135" s="240"/>
      <c r="B135" s="318"/>
      <c r="C135" s="240"/>
      <c r="D135" s="241"/>
      <c r="E135" s="270"/>
      <c r="F135" s="271"/>
      <c r="G135" s="239"/>
      <c r="H135" s="239"/>
      <c r="I135" s="239"/>
      <c r="J135" s="239"/>
      <c r="K135" s="239"/>
      <c r="L135" s="239"/>
      <c r="M135" s="239"/>
      <c r="N135" s="239"/>
      <c r="O135" s="239"/>
      <c r="P135" s="239"/>
      <c r="Q135" s="239"/>
      <c r="R135" s="239"/>
      <c r="S135" s="239"/>
      <c r="T135" s="239"/>
      <c r="U135"/>
      <c r="V135"/>
      <c r="W135"/>
      <c r="X135"/>
      <c r="Y135"/>
      <c r="Z135"/>
      <c r="AA135"/>
    </row>
    <row r="136" spans="1:27" hidden="1" x14ac:dyDescent="0.2">
      <c r="A136" s="240"/>
      <c r="B136" s="318"/>
      <c r="C136" s="240"/>
      <c r="D136" s="241"/>
      <c r="E136" s="270"/>
      <c r="F136" s="271"/>
      <c r="G136" s="239"/>
      <c r="H136" s="239"/>
      <c r="I136" s="239"/>
      <c r="J136" s="239"/>
      <c r="K136" s="239"/>
      <c r="L136" s="239"/>
      <c r="M136" s="239"/>
      <c r="N136" s="239"/>
      <c r="O136" s="239"/>
      <c r="P136" s="239"/>
      <c r="Q136" s="239"/>
      <c r="R136" s="239"/>
      <c r="S136" s="239"/>
      <c r="T136" s="239"/>
      <c r="U136"/>
      <c r="V136"/>
      <c r="W136"/>
      <c r="X136"/>
      <c r="Y136"/>
      <c r="Z136"/>
      <c r="AA136"/>
    </row>
    <row r="137" spans="1:27" hidden="1" x14ac:dyDescent="0.2">
      <c r="A137" s="240"/>
      <c r="B137" s="318"/>
      <c r="C137" s="240"/>
      <c r="D137" s="241"/>
      <c r="E137" s="270"/>
      <c r="F137" s="271"/>
      <c r="G137" s="239"/>
      <c r="H137" s="239"/>
      <c r="I137" s="239"/>
      <c r="J137" s="239"/>
      <c r="K137" s="239"/>
      <c r="L137" s="239"/>
      <c r="M137" s="239"/>
      <c r="N137" s="239"/>
      <c r="O137" s="239"/>
      <c r="P137" s="239"/>
      <c r="Q137" s="239"/>
      <c r="R137" s="239"/>
      <c r="S137" s="239"/>
      <c r="T137" s="239"/>
      <c r="U137"/>
      <c r="V137"/>
      <c r="W137"/>
      <c r="X137"/>
      <c r="Y137"/>
      <c r="Z137"/>
      <c r="AA137"/>
    </row>
    <row r="138" spans="1:27" hidden="1" x14ac:dyDescent="0.2">
      <c r="A138" s="240"/>
      <c r="B138" s="318"/>
      <c r="C138" s="240"/>
      <c r="D138" s="241"/>
      <c r="E138" s="270"/>
      <c r="F138" s="271"/>
      <c r="G138" s="239"/>
      <c r="H138" s="239"/>
      <c r="I138" s="239"/>
      <c r="J138" s="239"/>
      <c r="K138" s="239"/>
      <c r="L138" s="239"/>
      <c r="M138" s="239"/>
      <c r="N138" s="239"/>
      <c r="O138" s="239"/>
      <c r="P138" s="239"/>
      <c r="Q138" s="239"/>
      <c r="R138" s="239"/>
      <c r="S138" s="239"/>
      <c r="T138" s="239"/>
      <c r="U138"/>
      <c r="V138"/>
      <c r="W138"/>
      <c r="X138"/>
      <c r="Y138"/>
      <c r="Z138"/>
      <c r="AA138"/>
    </row>
    <row r="139" spans="1:27" hidden="1" x14ac:dyDescent="0.2">
      <c r="A139" s="240"/>
      <c r="B139" s="318"/>
      <c r="C139" s="240"/>
      <c r="D139" s="241"/>
      <c r="E139" s="270"/>
      <c r="F139" s="271"/>
      <c r="G139" s="239"/>
      <c r="H139" s="239"/>
      <c r="I139" s="239"/>
      <c r="J139" s="239"/>
      <c r="K139" s="239"/>
      <c r="L139" s="239"/>
      <c r="M139" s="239"/>
      <c r="N139" s="239"/>
      <c r="O139" s="239"/>
      <c r="P139" s="239"/>
      <c r="Q139" s="239"/>
      <c r="R139" s="239"/>
      <c r="S139" s="239"/>
      <c r="T139" s="239"/>
      <c r="U139"/>
      <c r="V139"/>
      <c r="W139"/>
      <c r="X139"/>
      <c r="Y139"/>
      <c r="Z139"/>
      <c r="AA139"/>
    </row>
    <row r="140" spans="1:27" hidden="1" x14ac:dyDescent="0.2">
      <c r="A140" s="240"/>
      <c r="B140" s="318"/>
      <c r="C140" s="240"/>
      <c r="D140" s="241"/>
      <c r="E140" s="270"/>
      <c r="F140" s="271"/>
      <c r="G140" s="239"/>
      <c r="H140" s="239"/>
      <c r="I140" s="239"/>
      <c r="J140" s="239"/>
      <c r="K140" s="239"/>
      <c r="L140" s="239"/>
      <c r="M140" s="239"/>
      <c r="N140" s="239"/>
      <c r="O140" s="239"/>
      <c r="P140" s="239"/>
      <c r="Q140" s="239"/>
      <c r="R140" s="239"/>
      <c r="S140" s="239"/>
      <c r="T140" s="239"/>
      <c r="U140"/>
      <c r="V140"/>
      <c r="W140"/>
      <c r="X140"/>
      <c r="Y140"/>
      <c r="Z140"/>
      <c r="AA140"/>
    </row>
    <row r="141" spans="1:27" hidden="1" x14ac:dyDescent="0.2">
      <c r="A141" s="240"/>
      <c r="B141" s="318"/>
      <c r="C141" s="240"/>
      <c r="D141" s="241"/>
      <c r="E141" s="270"/>
      <c r="F141" s="271"/>
      <c r="G141" s="239"/>
      <c r="H141" s="239"/>
      <c r="I141" s="239"/>
      <c r="J141" s="239"/>
      <c r="K141" s="239"/>
      <c r="L141" s="239"/>
      <c r="M141" s="239"/>
      <c r="N141" s="239"/>
      <c r="O141" s="239"/>
      <c r="P141" s="239"/>
      <c r="Q141" s="239"/>
      <c r="R141" s="239"/>
      <c r="S141" s="239"/>
      <c r="T141" s="239"/>
      <c r="U141"/>
      <c r="V141"/>
      <c r="W141"/>
      <c r="X141"/>
      <c r="Y141"/>
      <c r="Z141"/>
      <c r="AA141"/>
    </row>
    <row r="142" spans="1:27" hidden="1" x14ac:dyDescent="0.2">
      <c r="A142" s="240"/>
      <c r="B142" s="318"/>
      <c r="C142" s="240"/>
      <c r="D142" s="241"/>
      <c r="E142" s="270"/>
      <c r="F142" s="271"/>
      <c r="G142" s="239"/>
      <c r="H142" s="239"/>
      <c r="I142" s="239"/>
      <c r="J142" s="239"/>
      <c r="K142" s="239"/>
      <c r="L142" s="239"/>
      <c r="M142" s="239"/>
      <c r="N142" s="239"/>
      <c r="O142" s="239"/>
      <c r="P142" s="239"/>
      <c r="Q142" s="239"/>
      <c r="R142" s="239"/>
      <c r="S142" s="239"/>
      <c r="T142" s="239"/>
      <c r="U142"/>
      <c r="V142"/>
      <c r="W142"/>
      <c r="X142"/>
      <c r="Y142"/>
      <c r="Z142"/>
      <c r="AA142"/>
    </row>
    <row r="143" spans="1:27" hidden="1" x14ac:dyDescent="0.2">
      <c r="A143" s="240"/>
      <c r="B143" s="318"/>
      <c r="C143" s="240"/>
      <c r="D143" s="241"/>
      <c r="E143" s="270"/>
      <c r="F143" s="271"/>
      <c r="G143" s="239"/>
      <c r="H143" s="239"/>
      <c r="I143" s="239"/>
      <c r="J143" s="239"/>
      <c r="K143" s="239"/>
      <c r="L143" s="239"/>
      <c r="M143" s="239"/>
      <c r="N143" s="239"/>
      <c r="O143" s="239"/>
      <c r="P143" s="239"/>
      <c r="Q143" s="239"/>
      <c r="R143" s="239"/>
      <c r="S143" s="239"/>
      <c r="T143" s="239"/>
      <c r="U143"/>
      <c r="V143"/>
      <c r="W143"/>
      <c r="X143"/>
      <c r="Y143"/>
      <c r="Z143"/>
      <c r="AA143"/>
    </row>
    <row r="144" spans="1:27" hidden="1" x14ac:dyDescent="0.2">
      <c r="A144" s="240"/>
      <c r="B144" s="318"/>
      <c r="C144" s="240"/>
      <c r="D144" s="241"/>
      <c r="E144" s="270"/>
      <c r="F144" s="271"/>
      <c r="G144" s="239"/>
      <c r="H144" s="239"/>
      <c r="I144" s="239"/>
      <c r="J144" s="239"/>
      <c r="K144" s="239"/>
      <c r="L144" s="239"/>
      <c r="M144" s="239"/>
      <c r="N144" s="239"/>
      <c r="O144" s="239"/>
      <c r="P144" s="239"/>
      <c r="Q144" s="239"/>
      <c r="R144" s="239"/>
      <c r="S144" s="239"/>
      <c r="T144" s="239"/>
      <c r="U144"/>
      <c r="V144"/>
      <c r="W144"/>
      <c r="X144"/>
      <c r="Y144"/>
      <c r="Z144"/>
      <c r="AA144"/>
    </row>
    <row r="145" spans="1:27" hidden="1" x14ac:dyDescent="0.2">
      <c r="A145" s="240"/>
      <c r="B145" s="318"/>
      <c r="C145" s="240"/>
      <c r="D145" s="241"/>
      <c r="E145" s="270"/>
      <c r="F145" s="271"/>
      <c r="G145" s="239"/>
      <c r="H145" s="239"/>
      <c r="I145" s="239"/>
      <c r="J145" s="239"/>
      <c r="K145" s="239"/>
      <c r="L145" s="239"/>
      <c r="M145" s="239"/>
      <c r="N145" s="239"/>
      <c r="O145" s="239"/>
      <c r="P145" s="239"/>
      <c r="Q145" s="239"/>
      <c r="R145" s="239"/>
      <c r="S145" s="239"/>
      <c r="T145" s="239"/>
      <c r="U145"/>
      <c r="V145"/>
      <c r="W145"/>
      <c r="X145"/>
      <c r="Y145"/>
      <c r="Z145"/>
      <c r="AA145"/>
    </row>
    <row r="146" spans="1:27" hidden="1" x14ac:dyDescent="0.2">
      <c r="A146" s="240"/>
      <c r="B146" s="318"/>
      <c r="C146" s="240"/>
      <c r="D146" s="241"/>
      <c r="E146" s="270"/>
      <c r="F146" s="271"/>
      <c r="G146" s="239"/>
      <c r="H146" s="239"/>
      <c r="I146" s="239"/>
      <c r="J146" s="239"/>
      <c r="K146" s="239"/>
      <c r="L146" s="239"/>
      <c r="M146" s="239"/>
      <c r="N146" s="239"/>
      <c r="O146" s="239"/>
      <c r="P146" s="239"/>
      <c r="Q146" s="239"/>
      <c r="R146" s="239"/>
      <c r="S146" s="239"/>
      <c r="T146" s="239"/>
      <c r="U146"/>
      <c r="V146"/>
      <c r="W146"/>
      <c r="X146"/>
      <c r="Y146"/>
      <c r="Z146"/>
      <c r="AA146"/>
    </row>
    <row r="147" spans="1:27" hidden="1" x14ac:dyDescent="0.2">
      <c r="A147" s="240"/>
      <c r="B147" s="318"/>
      <c r="C147" s="240"/>
      <c r="D147" s="241"/>
      <c r="E147" s="270"/>
      <c r="F147" s="271"/>
      <c r="G147" s="239"/>
      <c r="H147" s="239"/>
      <c r="I147" s="239"/>
      <c r="J147" s="239"/>
      <c r="K147" s="239"/>
      <c r="L147" s="239"/>
      <c r="M147" s="239"/>
      <c r="N147" s="239"/>
      <c r="O147" s="239"/>
      <c r="P147" s="239"/>
      <c r="Q147" s="239"/>
      <c r="R147" s="239"/>
      <c r="S147" s="239"/>
      <c r="T147" s="239"/>
      <c r="U147"/>
      <c r="V147"/>
      <c r="W147"/>
      <c r="X147"/>
      <c r="Y147"/>
      <c r="Z147"/>
      <c r="AA147"/>
    </row>
    <row r="148" spans="1:27" hidden="1" x14ac:dyDescent="0.2">
      <c r="A148" s="240"/>
      <c r="B148" s="318"/>
      <c r="C148" s="240"/>
      <c r="D148" s="241"/>
      <c r="E148" s="270"/>
      <c r="F148" s="271"/>
      <c r="G148" s="239"/>
      <c r="H148" s="239"/>
      <c r="I148" s="239"/>
      <c r="J148" s="239"/>
      <c r="K148" s="239"/>
      <c r="L148" s="239"/>
      <c r="M148" s="239"/>
      <c r="N148" s="239"/>
      <c r="O148" s="239"/>
      <c r="P148" s="239"/>
      <c r="Q148" s="239"/>
      <c r="R148" s="239"/>
      <c r="S148" s="239"/>
      <c r="T148" s="239"/>
      <c r="U148"/>
      <c r="V148"/>
      <c r="W148"/>
      <c r="X148"/>
      <c r="Y148"/>
      <c r="Z148"/>
      <c r="AA148"/>
    </row>
    <row r="149" spans="1:27" hidden="1" x14ac:dyDescent="0.2">
      <c r="A149" s="240"/>
      <c r="B149" s="318"/>
      <c r="C149" s="240"/>
      <c r="D149" s="241"/>
      <c r="E149" s="270"/>
      <c r="F149" s="271"/>
      <c r="G149" s="239"/>
      <c r="H149" s="239"/>
      <c r="I149" s="239"/>
      <c r="J149" s="239"/>
      <c r="K149" s="239"/>
      <c r="L149" s="239"/>
      <c r="M149" s="239"/>
      <c r="N149" s="239"/>
      <c r="O149" s="239"/>
      <c r="P149" s="239"/>
      <c r="Q149" s="239"/>
      <c r="R149" s="239"/>
      <c r="S149" s="239"/>
      <c r="T149" s="239"/>
      <c r="U149"/>
      <c r="V149"/>
      <c r="W149"/>
      <c r="X149"/>
      <c r="Y149"/>
      <c r="Z149"/>
      <c r="AA149"/>
    </row>
    <row r="150" spans="1:27" hidden="1" x14ac:dyDescent="0.2">
      <c r="A150" s="240"/>
      <c r="B150" s="318"/>
      <c r="C150" s="240"/>
      <c r="D150" s="241"/>
      <c r="E150" s="270"/>
      <c r="F150" s="271"/>
      <c r="G150" s="239"/>
      <c r="H150" s="239"/>
      <c r="I150" s="239"/>
      <c r="J150" s="239"/>
      <c r="K150" s="239"/>
      <c r="L150" s="239"/>
      <c r="M150" s="239"/>
      <c r="N150" s="239"/>
      <c r="O150" s="239"/>
      <c r="P150" s="239"/>
      <c r="Q150" s="239"/>
      <c r="R150" s="239"/>
      <c r="S150" s="239"/>
      <c r="T150" s="239"/>
      <c r="U150"/>
      <c r="V150"/>
      <c r="W150"/>
      <c r="X150"/>
      <c r="Y150"/>
      <c r="Z150"/>
      <c r="AA150"/>
    </row>
    <row r="151" spans="1:27" hidden="1" x14ac:dyDescent="0.2">
      <c r="A151" s="240"/>
      <c r="B151" s="318"/>
      <c r="C151" s="240"/>
      <c r="D151" s="241"/>
      <c r="E151" s="270"/>
      <c r="F151" s="271"/>
      <c r="G151" s="239"/>
      <c r="H151" s="239"/>
      <c r="I151" s="239"/>
      <c r="J151" s="239"/>
      <c r="K151" s="239"/>
      <c r="L151" s="239"/>
      <c r="M151" s="239"/>
      <c r="N151" s="239"/>
      <c r="O151" s="239"/>
      <c r="P151" s="239"/>
      <c r="Q151" s="239"/>
      <c r="R151" s="239"/>
      <c r="S151" s="239"/>
      <c r="T151" s="239"/>
      <c r="U151"/>
      <c r="V151"/>
      <c r="W151"/>
      <c r="X151"/>
      <c r="Y151"/>
      <c r="Z151"/>
      <c r="AA151"/>
    </row>
    <row r="152" spans="1:27" hidden="1" x14ac:dyDescent="0.2">
      <c r="A152" s="240"/>
      <c r="B152" s="318"/>
      <c r="C152" s="240"/>
      <c r="D152" s="241"/>
      <c r="E152" s="270"/>
      <c r="F152" s="271"/>
      <c r="G152" s="239"/>
      <c r="H152" s="239"/>
      <c r="I152" s="239"/>
      <c r="J152" s="239"/>
      <c r="K152" s="239"/>
      <c r="L152" s="239"/>
      <c r="M152" s="239"/>
      <c r="N152" s="239"/>
      <c r="O152" s="239"/>
      <c r="P152" s="239"/>
      <c r="Q152" s="239"/>
      <c r="R152" s="239"/>
      <c r="S152" s="239"/>
      <c r="T152" s="239"/>
      <c r="U152"/>
      <c r="V152"/>
      <c r="W152"/>
      <c r="X152"/>
      <c r="Y152"/>
      <c r="Z152"/>
      <c r="AA152"/>
    </row>
    <row r="153" spans="1:27" hidden="1" x14ac:dyDescent="0.2">
      <c r="A153" s="240"/>
      <c r="B153" s="318"/>
      <c r="C153" s="240"/>
      <c r="D153" s="241"/>
      <c r="E153" s="270"/>
      <c r="F153" s="271"/>
      <c r="G153" s="239"/>
      <c r="H153" s="239"/>
      <c r="I153" s="239"/>
      <c r="J153" s="239"/>
      <c r="K153" s="239"/>
      <c r="L153" s="239"/>
      <c r="M153" s="239"/>
      <c r="N153" s="239"/>
      <c r="O153" s="239"/>
      <c r="P153" s="239"/>
      <c r="Q153" s="239"/>
      <c r="R153" s="239"/>
      <c r="S153" s="239"/>
      <c r="T153" s="239"/>
      <c r="U153"/>
      <c r="V153"/>
      <c r="W153"/>
      <c r="X153"/>
      <c r="Y153"/>
      <c r="Z153"/>
      <c r="AA153"/>
    </row>
    <row r="154" spans="1:27" hidden="1" x14ac:dyDescent="0.2">
      <c r="A154" s="240"/>
      <c r="B154" s="318"/>
      <c r="C154" s="240"/>
      <c r="D154" s="241"/>
      <c r="E154" s="270"/>
      <c r="F154" s="271"/>
      <c r="G154" s="239"/>
      <c r="H154" s="239"/>
      <c r="I154" s="239"/>
      <c r="J154" s="239"/>
      <c r="K154" s="239"/>
      <c r="L154" s="239"/>
      <c r="M154" s="239"/>
      <c r="N154" s="239"/>
      <c r="O154" s="239"/>
      <c r="P154" s="239"/>
      <c r="Q154" s="239"/>
      <c r="R154" s="239"/>
      <c r="S154" s="239"/>
      <c r="T154" s="239"/>
      <c r="U154"/>
      <c r="V154"/>
      <c r="W154"/>
      <c r="X154"/>
      <c r="Y154"/>
      <c r="Z154"/>
      <c r="AA154"/>
    </row>
    <row r="155" spans="1:27" hidden="1" x14ac:dyDescent="0.2">
      <c r="A155" s="240"/>
      <c r="B155" s="318"/>
      <c r="C155" s="240"/>
      <c r="D155" s="241"/>
      <c r="E155" s="270"/>
      <c r="F155" s="271"/>
      <c r="G155" s="239"/>
      <c r="H155" s="239"/>
      <c r="I155" s="239"/>
      <c r="J155" s="239"/>
      <c r="K155" s="239"/>
      <c r="L155" s="239"/>
      <c r="M155" s="239"/>
      <c r="N155" s="239"/>
      <c r="O155" s="239"/>
      <c r="P155" s="239"/>
      <c r="Q155" s="239"/>
      <c r="R155" s="239"/>
      <c r="S155" s="239"/>
      <c r="T155" s="239"/>
      <c r="U155"/>
      <c r="V155"/>
      <c r="W155"/>
      <c r="X155"/>
      <c r="Y155"/>
      <c r="Z155"/>
      <c r="AA155"/>
    </row>
    <row r="156" spans="1:27" hidden="1" x14ac:dyDescent="0.2">
      <c r="A156" s="240"/>
      <c r="B156" s="318"/>
      <c r="C156" s="240"/>
      <c r="D156" s="241"/>
      <c r="E156" s="270"/>
      <c r="F156" s="271"/>
      <c r="G156" s="239"/>
      <c r="H156" s="239"/>
      <c r="I156" s="239"/>
      <c r="J156" s="239"/>
      <c r="K156" s="239"/>
      <c r="L156" s="239"/>
      <c r="M156" s="239"/>
      <c r="N156" s="239"/>
      <c r="O156" s="239"/>
      <c r="P156" s="239"/>
      <c r="Q156" s="239"/>
      <c r="R156" s="239"/>
      <c r="S156" s="239"/>
      <c r="T156" s="239"/>
      <c r="U156"/>
      <c r="V156"/>
      <c r="W156"/>
      <c r="X156"/>
      <c r="Y156"/>
      <c r="Z156"/>
      <c r="AA156"/>
    </row>
    <row r="157" spans="1:27" hidden="1" x14ac:dyDescent="0.2">
      <c r="A157" s="240"/>
      <c r="B157" s="318"/>
      <c r="C157" s="240"/>
      <c r="D157" s="241"/>
      <c r="E157" s="270"/>
      <c r="F157" s="271"/>
      <c r="G157" s="239"/>
      <c r="H157" s="239"/>
      <c r="I157" s="239"/>
      <c r="J157" s="239"/>
      <c r="K157" s="239"/>
      <c r="L157" s="239"/>
      <c r="M157" s="239"/>
      <c r="N157" s="239"/>
      <c r="O157" s="239"/>
      <c r="P157" s="239"/>
      <c r="Q157" s="239"/>
      <c r="R157" s="239"/>
      <c r="S157" s="239"/>
      <c r="T157" s="239"/>
      <c r="U157"/>
      <c r="V157"/>
      <c r="W157"/>
      <c r="X157"/>
      <c r="Y157"/>
      <c r="Z157"/>
      <c r="AA157"/>
    </row>
    <row r="158" spans="1:27" hidden="1" x14ac:dyDescent="0.2">
      <c r="A158" s="240"/>
      <c r="B158" s="318"/>
      <c r="C158" s="240"/>
      <c r="D158" s="241"/>
      <c r="E158" s="270"/>
      <c r="F158" s="271"/>
      <c r="G158" s="239"/>
      <c r="H158" s="239"/>
      <c r="I158" s="239"/>
      <c r="J158" s="239"/>
      <c r="K158" s="239"/>
      <c r="L158" s="239"/>
      <c r="M158" s="239"/>
      <c r="N158" s="239"/>
      <c r="O158" s="239"/>
      <c r="P158" s="239"/>
      <c r="Q158" s="239"/>
      <c r="R158" s="239"/>
      <c r="S158" s="239"/>
      <c r="T158" s="239"/>
      <c r="U158"/>
      <c r="V158"/>
      <c r="W158"/>
      <c r="X158"/>
      <c r="Y158"/>
      <c r="Z158"/>
      <c r="AA158"/>
    </row>
    <row r="159" spans="1:27" hidden="1" x14ac:dyDescent="0.2">
      <c r="A159" s="240"/>
      <c r="B159" s="318"/>
      <c r="C159" s="240"/>
      <c r="D159" s="241"/>
      <c r="E159" s="270"/>
      <c r="F159" s="271"/>
      <c r="G159" s="239"/>
      <c r="H159" s="239"/>
      <c r="I159" s="239"/>
      <c r="J159" s="239"/>
      <c r="K159" s="239"/>
      <c r="L159" s="239"/>
      <c r="M159" s="239"/>
      <c r="N159" s="239"/>
      <c r="O159" s="239"/>
      <c r="P159" s="239"/>
      <c r="Q159" s="239"/>
      <c r="R159" s="239"/>
      <c r="S159" s="239"/>
      <c r="T159" s="239"/>
      <c r="U159"/>
      <c r="V159"/>
      <c r="W159"/>
      <c r="X159"/>
      <c r="Y159"/>
      <c r="Z159"/>
      <c r="AA159"/>
    </row>
    <row r="160" spans="1:27" hidden="1" x14ac:dyDescent="0.2">
      <c r="A160" s="240"/>
      <c r="B160" s="318"/>
      <c r="C160" s="240"/>
      <c r="D160" s="241"/>
      <c r="E160" s="270"/>
      <c r="F160" s="271"/>
      <c r="G160" s="239"/>
      <c r="H160" s="239"/>
      <c r="I160" s="239"/>
      <c r="J160" s="239"/>
      <c r="K160" s="239"/>
      <c r="L160" s="239"/>
      <c r="M160" s="239"/>
      <c r="N160" s="239"/>
      <c r="O160" s="239"/>
      <c r="P160" s="239"/>
      <c r="Q160" s="239"/>
      <c r="R160" s="239"/>
      <c r="S160" s="239"/>
      <c r="T160" s="239"/>
      <c r="U160"/>
      <c r="V160"/>
      <c r="W160"/>
      <c r="X160"/>
      <c r="Y160"/>
      <c r="Z160"/>
      <c r="AA160"/>
    </row>
    <row r="161" spans="1:27" hidden="1" x14ac:dyDescent="0.2">
      <c r="A161" s="240"/>
      <c r="B161" s="318"/>
      <c r="C161" s="240"/>
      <c r="D161" s="241"/>
      <c r="E161" s="270"/>
      <c r="F161" s="271"/>
      <c r="G161" s="239"/>
      <c r="H161" s="239"/>
      <c r="I161" s="239"/>
      <c r="J161" s="239"/>
      <c r="K161" s="239"/>
      <c r="L161" s="239"/>
      <c r="M161" s="239"/>
      <c r="N161" s="239"/>
      <c r="O161" s="239"/>
      <c r="P161" s="239"/>
      <c r="Q161" s="239"/>
      <c r="R161" s="239"/>
      <c r="S161" s="239"/>
      <c r="T161" s="239"/>
      <c r="U161"/>
      <c r="V161"/>
      <c r="W161"/>
      <c r="X161"/>
      <c r="Y161"/>
      <c r="Z161"/>
      <c r="AA161"/>
    </row>
    <row r="162" spans="1:27" hidden="1" x14ac:dyDescent="0.2">
      <c r="A162" s="240"/>
      <c r="B162" s="318"/>
      <c r="C162" s="240"/>
      <c r="D162" s="241"/>
      <c r="E162" s="270"/>
      <c r="F162" s="271"/>
      <c r="G162" s="239"/>
      <c r="H162" s="239"/>
      <c r="I162" s="239"/>
      <c r="J162" s="239"/>
      <c r="K162" s="239"/>
      <c r="L162" s="239"/>
      <c r="M162" s="239"/>
      <c r="N162" s="239"/>
      <c r="O162" s="239"/>
      <c r="P162" s="239"/>
      <c r="Q162" s="239"/>
      <c r="R162" s="239"/>
      <c r="S162" s="239"/>
      <c r="T162" s="239"/>
      <c r="U162"/>
      <c r="V162"/>
      <c r="W162"/>
      <c r="X162"/>
      <c r="Y162"/>
      <c r="Z162"/>
      <c r="AA162"/>
    </row>
    <row r="163" spans="1:27" hidden="1" x14ac:dyDescent="0.2">
      <c r="A163" s="240"/>
      <c r="B163" s="318"/>
      <c r="C163" s="240"/>
      <c r="D163" s="241"/>
      <c r="E163" s="270"/>
      <c r="F163" s="271"/>
      <c r="G163" s="239"/>
      <c r="H163" s="239"/>
      <c r="I163" s="239"/>
      <c r="J163" s="239"/>
      <c r="K163" s="239"/>
      <c r="L163" s="239"/>
      <c r="M163" s="239"/>
      <c r="N163" s="239"/>
      <c r="O163" s="239"/>
      <c r="P163" s="239"/>
      <c r="Q163" s="239"/>
      <c r="R163" s="239"/>
      <c r="S163" s="239"/>
      <c r="T163" s="239"/>
      <c r="U163"/>
      <c r="V163"/>
      <c r="W163"/>
      <c r="X163"/>
      <c r="Y163"/>
      <c r="Z163"/>
      <c r="AA163"/>
    </row>
    <row r="164" spans="1:27" hidden="1" x14ac:dyDescent="0.2">
      <c r="A164" s="240"/>
      <c r="B164" s="318"/>
      <c r="C164" s="240"/>
      <c r="D164" s="241"/>
      <c r="E164" s="270"/>
      <c r="F164" s="271"/>
      <c r="G164" s="239"/>
      <c r="H164" s="239"/>
      <c r="I164" s="239"/>
      <c r="J164" s="239"/>
      <c r="K164" s="239"/>
      <c r="L164" s="239"/>
      <c r="M164" s="239"/>
      <c r="N164" s="239"/>
      <c r="O164" s="239"/>
      <c r="P164" s="239"/>
      <c r="Q164" s="239"/>
      <c r="R164" s="239"/>
      <c r="S164" s="239"/>
      <c r="T164" s="239"/>
      <c r="U164"/>
      <c r="V164"/>
      <c r="W164"/>
      <c r="X164"/>
      <c r="Y164"/>
      <c r="Z164"/>
      <c r="AA164"/>
    </row>
    <row r="165" spans="1:27" hidden="1" x14ac:dyDescent="0.2">
      <c r="A165" s="240"/>
      <c r="B165" s="318"/>
      <c r="C165" s="240"/>
      <c r="D165" s="241"/>
      <c r="E165" s="270"/>
      <c r="F165" s="271"/>
      <c r="G165" s="239"/>
      <c r="H165" s="239"/>
      <c r="I165" s="239"/>
      <c r="J165" s="239"/>
      <c r="K165" s="239"/>
      <c r="L165" s="239"/>
      <c r="M165" s="239"/>
      <c r="N165" s="239"/>
      <c r="O165" s="239"/>
      <c r="P165" s="239"/>
      <c r="Q165" s="239"/>
      <c r="R165" s="239"/>
      <c r="S165" s="239"/>
      <c r="T165" s="239"/>
      <c r="U165"/>
      <c r="V165"/>
      <c r="W165"/>
      <c r="X165"/>
      <c r="Y165"/>
      <c r="Z165"/>
      <c r="AA165"/>
    </row>
    <row r="166" spans="1:27" hidden="1" x14ac:dyDescent="0.2">
      <c r="A166" s="240"/>
      <c r="B166" s="318"/>
      <c r="C166" s="240"/>
      <c r="D166" s="241"/>
      <c r="E166" s="270"/>
      <c r="F166" s="271"/>
      <c r="G166" s="239"/>
      <c r="H166" s="239"/>
      <c r="I166" s="239"/>
      <c r="J166" s="239"/>
      <c r="K166" s="239"/>
      <c r="L166" s="239"/>
      <c r="M166" s="239"/>
      <c r="N166" s="239"/>
      <c r="O166" s="239"/>
      <c r="P166" s="239"/>
      <c r="Q166" s="239"/>
      <c r="R166" s="239"/>
      <c r="S166" s="239"/>
      <c r="T166" s="239"/>
      <c r="U166"/>
      <c r="V166"/>
      <c r="W166"/>
      <c r="X166"/>
      <c r="Y166"/>
      <c r="Z166"/>
      <c r="AA166"/>
    </row>
    <row r="167" spans="1:27" hidden="1" x14ac:dyDescent="0.2">
      <c r="A167" s="240"/>
      <c r="B167" s="318"/>
      <c r="C167" s="240"/>
      <c r="D167" s="241"/>
      <c r="E167" s="270"/>
      <c r="F167" s="271"/>
      <c r="G167" s="239"/>
      <c r="H167" s="239"/>
      <c r="I167" s="239"/>
      <c r="J167" s="239"/>
      <c r="K167" s="239"/>
      <c r="L167" s="239"/>
      <c r="M167" s="239"/>
      <c r="N167" s="239"/>
      <c r="O167" s="239"/>
      <c r="P167" s="239"/>
      <c r="Q167" s="239"/>
      <c r="R167" s="239"/>
      <c r="S167" s="239"/>
      <c r="T167" s="239"/>
      <c r="U167"/>
      <c r="V167"/>
      <c r="W167"/>
      <c r="X167"/>
      <c r="Y167"/>
      <c r="Z167"/>
      <c r="AA167"/>
    </row>
    <row r="168" spans="1:27" hidden="1" x14ac:dyDescent="0.2">
      <c r="A168" s="240"/>
      <c r="B168" s="318"/>
      <c r="C168" s="240"/>
      <c r="D168" s="241"/>
      <c r="E168" s="270"/>
      <c r="F168" s="271"/>
      <c r="G168" s="239"/>
      <c r="H168" s="239"/>
      <c r="I168" s="239"/>
      <c r="J168" s="239"/>
      <c r="K168" s="239"/>
      <c r="L168" s="239"/>
      <c r="M168" s="239"/>
      <c r="N168" s="239"/>
      <c r="O168" s="239"/>
      <c r="P168" s="239"/>
      <c r="Q168" s="239"/>
      <c r="R168" s="239"/>
      <c r="S168" s="239"/>
      <c r="T168" s="239"/>
      <c r="U168"/>
      <c r="V168"/>
      <c r="W168"/>
      <c r="X168"/>
      <c r="Y168"/>
      <c r="Z168"/>
      <c r="AA168"/>
    </row>
    <row r="169" spans="1:27" hidden="1" x14ac:dyDescent="0.2">
      <c r="A169" s="240"/>
      <c r="B169" s="318"/>
      <c r="C169" s="240"/>
      <c r="D169" s="241"/>
      <c r="E169" s="270"/>
      <c r="F169" s="271"/>
      <c r="G169" s="239"/>
      <c r="H169" s="239"/>
      <c r="I169" s="239"/>
      <c r="J169" s="239"/>
      <c r="K169" s="239"/>
      <c r="L169" s="239"/>
      <c r="M169" s="239"/>
      <c r="N169" s="239"/>
      <c r="O169" s="239"/>
      <c r="P169" s="239"/>
      <c r="Q169" s="239"/>
      <c r="R169" s="239"/>
      <c r="S169" s="239"/>
      <c r="T169" s="239"/>
      <c r="U169"/>
      <c r="V169"/>
      <c r="W169"/>
      <c r="X169"/>
      <c r="Y169"/>
      <c r="Z169"/>
      <c r="AA169"/>
    </row>
    <row r="170" spans="1:27" hidden="1" x14ac:dyDescent="0.2">
      <c r="A170" s="240"/>
      <c r="B170" s="318"/>
      <c r="C170" s="240"/>
      <c r="D170" s="241"/>
      <c r="E170" s="270"/>
      <c r="F170" s="271"/>
      <c r="G170" s="239"/>
      <c r="H170" s="239"/>
      <c r="I170" s="239"/>
      <c r="J170" s="239"/>
      <c r="K170" s="239"/>
      <c r="L170" s="239"/>
      <c r="M170" s="239"/>
      <c r="N170" s="239"/>
      <c r="O170" s="239"/>
      <c r="P170" s="239"/>
      <c r="Q170" s="239"/>
      <c r="R170" s="239"/>
      <c r="S170" s="239"/>
      <c r="T170" s="239"/>
      <c r="U170"/>
      <c r="V170"/>
      <c r="W170"/>
      <c r="X170"/>
      <c r="Y170"/>
      <c r="Z170"/>
      <c r="AA170"/>
    </row>
    <row r="171" spans="1:27" hidden="1" x14ac:dyDescent="0.2">
      <c r="A171" s="240"/>
      <c r="B171" s="318"/>
      <c r="C171" s="240"/>
      <c r="D171" s="241"/>
      <c r="E171" s="270"/>
      <c r="F171" s="271"/>
      <c r="G171" s="239"/>
      <c r="H171" s="239"/>
      <c r="I171" s="239"/>
      <c r="J171" s="239"/>
      <c r="K171" s="239"/>
      <c r="L171" s="239"/>
      <c r="M171" s="239"/>
      <c r="N171" s="239"/>
      <c r="O171" s="239"/>
      <c r="P171" s="239"/>
      <c r="Q171" s="239"/>
      <c r="R171" s="239"/>
      <c r="S171" s="239"/>
      <c r="T171" s="239"/>
      <c r="U171"/>
      <c r="V171"/>
      <c r="W171"/>
      <c r="X171"/>
      <c r="Y171"/>
      <c r="Z171"/>
      <c r="AA171"/>
    </row>
    <row r="172" spans="1:27" hidden="1" x14ac:dyDescent="0.2">
      <c r="A172" s="240"/>
      <c r="B172" s="318"/>
      <c r="C172" s="240"/>
      <c r="D172" s="241"/>
      <c r="E172" s="270"/>
      <c r="F172" s="271"/>
      <c r="G172" s="239"/>
      <c r="H172" s="239"/>
      <c r="I172" s="239"/>
      <c r="J172" s="239"/>
      <c r="K172" s="239"/>
      <c r="L172" s="239"/>
      <c r="M172" s="239"/>
      <c r="N172" s="239"/>
      <c r="O172" s="239"/>
      <c r="P172" s="239"/>
      <c r="Q172" s="239"/>
      <c r="R172" s="239"/>
      <c r="S172" s="239"/>
      <c r="T172" s="239"/>
      <c r="U172"/>
      <c r="V172"/>
      <c r="W172"/>
      <c r="X172"/>
      <c r="Y172"/>
      <c r="Z172"/>
      <c r="AA172"/>
    </row>
    <row r="173" spans="1:27" hidden="1" x14ac:dyDescent="0.2">
      <c r="A173" s="240"/>
      <c r="B173" s="318"/>
      <c r="C173" s="240"/>
      <c r="D173" s="241"/>
      <c r="E173" s="270"/>
      <c r="F173" s="271"/>
      <c r="G173" s="239"/>
      <c r="H173" s="239"/>
      <c r="I173" s="239"/>
      <c r="J173" s="239"/>
      <c r="K173" s="239"/>
      <c r="L173" s="239"/>
      <c r="M173" s="239"/>
      <c r="N173" s="239"/>
      <c r="O173" s="239"/>
      <c r="P173" s="239"/>
      <c r="Q173" s="239"/>
      <c r="R173" s="239"/>
      <c r="S173" s="239"/>
      <c r="T173" s="239"/>
      <c r="U173"/>
      <c r="V173"/>
      <c r="W173"/>
      <c r="X173"/>
      <c r="Y173"/>
      <c r="Z173"/>
      <c r="AA173"/>
    </row>
    <row r="174" spans="1:27" hidden="1" x14ac:dyDescent="0.2">
      <c r="A174" s="240"/>
      <c r="B174" s="318"/>
      <c r="C174" s="240"/>
      <c r="D174" s="241"/>
      <c r="E174" s="270"/>
      <c r="F174" s="271"/>
      <c r="G174" s="239"/>
      <c r="H174" s="239"/>
      <c r="I174" s="239"/>
      <c r="J174" s="239"/>
      <c r="K174" s="239"/>
      <c r="L174" s="239"/>
      <c r="M174" s="239"/>
      <c r="N174" s="239"/>
      <c r="O174" s="239"/>
      <c r="P174" s="239"/>
      <c r="Q174" s="239"/>
      <c r="R174" s="239"/>
      <c r="S174" s="239"/>
      <c r="T174" s="239"/>
      <c r="U174"/>
      <c r="V174"/>
      <c r="W174"/>
      <c r="X174"/>
      <c r="Y174"/>
      <c r="Z174"/>
      <c r="AA174"/>
    </row>
    <row r="175" spans="1:27" hidden="1" x14ac:dyDescent="0.2">
      <c r="A175" s="240"/>
      <c r="B175" s="318"/>
      <c r="C175" s="240"/>
      <c r="D175" s="241"/>
      <c r="E175" s="270"/>
      <c r="F175" s="271"/>
      <c r="G175" s="239"/>
      <c r="H175" s="239"/>
      <c r="I175" s="239"/>
      <c r="J175" s="239"/>
      <c r="K175" s="239"/>
      <c r="L175" s="239"/>
      <c r="M175" s="239"/>
      <c r="N175" s="239"/>
      <c r="O175" s="239"/>
      <c r="P175" s="239"/>
      <c r="Q175" s="239"/>
      <c r="R175" s="239"/>
      <c r="S175" s="239"/>
      <c r="T175" s="239"/>
      <c r="U175"/>
      <c r="V175"/>
      <c r="W175"/>
      <c r="X175"/>
      <c r="Y175"/>
      <c r="Z175"/>
      <c r="AA175"/>
    </row>
    <row r="176" spans="1:27" hidden="1" x14ac:dyDescent="0.2">
      <c r="A176" s="240"/>
      <c r="B176" s="318"/>
      <c r="C176" s="240"/>
      <c r="D176" s="241"/>
      <c r="E176" s="270"/>
      <c r="F176" s="271"/>
      <c r="G176" s="239"/>
      <c r="H176" s="239"/>
      <c r="I176" s="239"/>
      <c r="J176" s="239"/>
      <c r="K176" s="239"/>
      <c r="L176" s="239"/>
      <c r="M176" s="239"/>
      <c r="N176" s="239"/>
      <c r="O176" s="239"/>
      <c r="P176" s="239"/>
      <c r="Q176" s="239"/>
      <c r="R176" s="239"/>
      <c r="S176" s="239"/>
      <c r="T176" s="239"/>
      <c r="U176"/>
      <c r="V176"/>
      <c r="W176"/>
      <c r="X176"/>
      <c r="Y176"/>
      <c r="Z176"/>
      <c r="AA176"/>
    </row>
    <row r="177" spans="1:27" hidden="1" x14ac:dyDescent="0.2">
      <c r="A177" s="240"/>
      <c r="B177" s="318"/>
      <c r="C177" s="240"/>
      <c r="D177" s="241"/>
      <c r="E177" s="270"/>
      <c r="F177" s="271"/>
      <c r="G177" s="239"/>
      <c r="H177" s="239"/>
      <c r="I177" s="239"/>
      <c r="J177" s="239"/>
      <c r="K177" s="239"/>
      <c r="L177" s="239"/>
      <c r="M177" s="239"/>
      <c r="N177" s="239"/>
      <c r="O177" s="239"/>
      <c r="P177" s="239"/>
      <c r="Q177" s="239"/>
      <c r="R177" s="239"/>
      <c r="S177" s="239"/>
      <c r="T177" s="239"/>
      <c r="U177"/>
      <c r="V177"/>
      <c r="W177"/>
      <c r="X177"/>
      <c r="Y177"/>
      <c r="Z177"/>
      <c r="AA177"/>
    </row>
    <row r="178" spans="1:27" hidden="1" x14ac:dyDescent="0.2">
      <c r="A178" s="240"/>
      <c r="B178" s="318"/>
      <c r="C178" s="240"/>
      <c r="D178" s="241"/>
      <c r="E178" s="270"/>
      <c r="F178" s="271"/>
      <c r="G178" s="239"/>
      <c r="H178" s="239"/>
      <c r="I178" s="239"/>
      <c r="J178" s="239"/>
      <c r="K178" s="239"/>
      <c r="L178" s="239"/>
      <c r="M178" s="239"/>
      <c r="N178" s="239"/>
      <c r="O178" s="239"/>
      <c r="P178" s="239"/>
      <c r="Q178" s="239"/>
      <c r="R178" s="239"/>
      <c r="S178" s="239"/>
      <c r="T178" s="239"/>
      <c r="U178"/>
      <c r="V178"/>
      <c r="W178"/>
      <c r="X178"/>
      <c r="Y178"/>
      <c r="Z178"/>
      <c r="AA178"/>
    </row>
    <row r="179" spans="1:27" hidden="1" x14ac:dyDescent="0.2">
      <c r="A179" s="240"/>
      <c r="B179" s="318"/>
      <c r="C179" s="240"/>
      <c r="D179" s="241"/>
      <c r="E179" s="270"/>
      <c r="F179" s="271"/>
      <c r="G179" s="239"/>
      <c r="H179" s="239"/>
      <c r="I179" s="239"/>
      <c r="J179" s="239"/>
      <c r="K179" s="239"/>
      <c r="L179" s="239"/>
      <c r="M179" s="239"/>
      <c r="N179" s="239"/>
      <c r="O179" s="239"/>
      <c r="P179" s="239"/>
      <c r="Q179" s="239"/>
      <c r="R179" s="239"/>
      <c r="S179" s="239"/>
      <c r="T179" s="239"/>
      <c r="U179"/>
      <c r="V179"/>
      <c r="W179"/>
      <c r="X179"/>
      <c r="Y179"/>
      <c r="Z179"/>
      <c r="AA179"/>
    </row>
    <row r="180" spans="1:27" hidden="1" x14ac:dyDescent="0.2">
      <c r="A180" s="240"/>
      <c r="B180" s="318"/>
      <c r="C180" s="240"/>
      <c r="D180" s="241"/>
      <c r="E180" s="270"/>
      <c r="F180" s="271"/>
      <c r="G180" s="239"/>
      <c r="H180" s="239"/>
      <c r="I180" s="239"/>
      <c r="J180" s="239"/>
      <c r="K180" s="239"/>
      <c r="L180" s="239"/>
      <c r="M180" s="239"/>
      <c r="N180" s="239"/>
      <c r="O180" s="239"/>
      <c r="P180" s="239"/>
      <c r="Q180" s="239"/>
      <c r="R180" s="239"/>
      <c r="S180" s="239"/>
      <c r="T180" s="239"/>
      <c r="U180"/>
      <c r="V180"/>
      <c r="W180"/>
      <c r="X180"/>
      <c r="Y180"/>
      <c r="Z180"/>
      <c r="AA180"/>
    </row>
    <row r="181" spans="1:27" hidden="1" x14ac:dyDescent="0.2">
      <c r="A181" s="240"/>
      <c r="B181" s="318"/>
      <c r="C181" s="240"/>
      <c r="D181" s="241"/>
      <c r="E181" s="270"/>
      <c r="F181" s="271"/>
      <c r="G181" s="239"/>
      <c r="H181" s="239"/>
      <c r="I181" s="239"/>
      <c r="J181" s="239"/>
      <c r="K181" s="239"/>
      <c r="L181" s="239"/>
      <c r="M181" s="239"/>
      <c r="N181" s="239"/>
      <c r="O181" s="239"/>
      <c r="P181" s="239"/>
      <c r="Q181" s="239"/>
      <c r="R181" s="239"/>
      <c r="S181" s="239"/>
      <c r="T181" s="239"/>
      <c r="U181"/>
      <c r="V181"/>
      <c r="W181"/>
      <c r="X181"/>
      <c r="Y181"/>
      <c r="Z181"/>
      <c r="AA181"/>
    </row>
    <row r="182" spans="1:27" hidden="1" x14ac:dyDescent="0.2">
      <c r="A182" s="240"/>
      <c r="B182" s="318"/>
      <c r="C182" s="240"/>
      <c r="D182" s="241"/>
      <c r="E182" s="270"/>
      <c r="F182" s="271"/>
      <c r="G182" s="239"/>
      <c r="H182" s="239"/>
      <c r="I182" s="239"/>
      <c r="J182" s="239"/>
      <c r="K182" s="239"/>
      <c r="L182" s="239"/>
      <c r="M182" s="239"/>
      <c r="N182" s="239"/>
      <c r="O182" s="239"/>
      <c r="P182" s="239"/>
      <c r="Q182" s="239"/>
      <c r="R182" s="239"/>
      <c r="S182" s="239"/>
      <c r="T182" s="239"/>
      <c r="U182"/>
      <c r="V182"/>
      <c r="W182"/>
      <c r="X182"/>
      <c r="Y182"/>
      <c r="Z182"/>
      <c r="AA182"/>
    </row>
    <row r="183" spans="1:27" hidden="1" x14ac:dyDescent="0.2">
      <c r="A183" s="240"/>
      <c r="B183" s="318"/>
      <c r="C183" s="240"/>
      <c r="D183" s="241"/>
      <c r="E183" s="270"/>
      <c r="F183" s="271"/>
      <c r="G183" s="239"/>
      <c r="H183" s="239"/>
      <c r="I183" s="239"/>
      <c r="J183" s="239"/>
      <c r="K183" s="239"/>
      <c r="L183" s="239"/>
      <c r="M183" s="239"/>
      <c r="N183" s="239"/>
      <c r="O183" s="239"/>
      <c r="P183" s="239"/>
      <c r="Q183" s="239"/>
      <c r="R183" s="239"/>
      <c r="S183" s="239"/>
      <c r="T183" s="239"/>
      <c r="U183"/>
      <c r="V183"/>
      <c r="W183"/>
      <c r="X183"/>
      <c r="Y183"/>
      <c r="Z183"/>
      <c r="AA183"/>
    </row>
    <row r="184" spans="1:27" hidden="1" x14ac:dyDescent="0.2">
      <c r="A184" s="240"/>
      <c r="B184" s="318"/>
      <c r="C184" s="240"/>
      <c r="D184" s="241"/>
      <c r="E184" s="270"/>
      <c r="F184" s="271"/>
      <c r="G184" s="239"/>
      <c r="H184" s="239"/>
      <c r="I184" s="239"/>
      <c r="J184" s="239"/>
      <c r="K184" s="239"/>
      <c r="L184" s="239"/>
      <c r="M184" s="239"/>
      <c r="N184" s="239"/>
      <c r="O184" s="239"/>
      <c r="P184" s="239"/>
      <c r="Q184" s="239"/>
      <c r="R184" s="239"/>
      <c r="S184" s="239"/>
      <c r="T184" s="239"/>
      <c r="U184"/>
      <c r="V184"/>
      <c r="W184"/>
      <c r="X184"/>
      <c r="Y184"/>
      <c r="Z184"/>
      <c r="AA184"/>
    </row>
    <row r="185" spans="1:27" hidden="1" x14ac:dyDescent="0.2">
      <c r="A185" s="240"/>
      <c r="B185" s="318"/>
      <c r="C185" s="240"/>
      <c r="D185" s="241"/>
      <c r="E185" s="270"/>
      <c r="F185" s="271"/>
      <c r="G185" s="239"/>
      <c r="H185" s="239"/>
      <c r="I185" s="239"/>
      <c r="J185" s="239"/>
      <c r="K185" s="239"/>
      <c r="L185" s="239"/>
      <c r="M185" s="239"/>
      <c r="N185" s="239"/>
      <c r="O185" s="239"/>
      <c r="P185" s="239"/>
      <c r="Q185" s="239"/>
      <c r="R185" s="239"/>
      <c r="S185" s="239"/>
      <c r="T185" s="239"/>
      <c r="U185"/>
      <c r="V185"/>
      <c r="W185"/>
      <c r="X185"/>
      <c r="Y185"/>
      <c r="Z185"/>
      <c r="AA185"/>
    </row>
    <row r="186" spans="1:27" hidden="1" x14ac:dyDescent="0.2">
      <c r="A186" s="240"/>
      <c r="B186" s="318"/>
      <c r="C186" s="240"/>
      <c r="D186" s="241"/>
      <c r="E186" s="270"/>
      <c r="F186" s="271"/>
      <c r="G186" s="239"/>
      <c r="H186" s="239"/>
      <c r="I186" s="239"/>
      <c r="J186" s="239"/>
      <c r="K186" s="239"/>
      <c r="L186" s="239"/>
      <c r="M186" s="239"/>
      <c r="N186" s="239"/>
      <c r="O186" s="239"/>
      <c r="P186" s="239"/>
      <c r="Q186" s="239"/>
      <c r="R186" s="239"/>
      <c r="S186" s="239"/>
      <c r="T186" s="239"/>
      <c r="U186"/>
      <c r="V186"/>
      <c r="W186"/>
      <c r="X186"/>
      <c r="Y186"/>
      <c r="Z186"/>
      <c r="AA186"/>
    </row>
    <row r="187" spans="1:27" hidden="1" x14ac:dyDescent="0.2">
      <c r="A187" s="240"/>
      <c r="B187" s="318"/>
      <c r="C187" s="240"/>
      <c r="D187" s="241"/>
      <c r="E187" s="270"/>
      <c r="F187" s="271"/>
      <c r="G187" s="239"/>
      <c r="H187" s="239"/>
      <c r="I187" s="239"/>
      <c r="J187" s="239"/>
      <c r="K187" s="239"/>
      <c r="L187" s="239"/>
      <c r="M187" s="239"/>
      <c r="N187" s="239"/>
      <c r="O187" s="239"/>
      <c r="P187" s="239"/>
      <c r="Q187" s="239"/>
      <c r="R187" s="239"/>
      <c r="S187" s="239"/>
      <c r="T187" s="239"/>
      <c r="U187"/>
      <c r="V187"/>
      <c r="W187"/>
      <c r="X187"/>
      <c r="Y187"/>
      <c r="Z187"/>
      <c r="AA187"/>
    </row>
    <row r="188" spans="1:27" hidden="1" x14ac:dyDescent="0.2">
      <c r="A188" s="240"/>
      <c r="B188" s="318"/>
      <c r="C188" s="240"/>
      <c r="D188" s="241"/>
      <c r="E188" s="270"/>
      <c r="F188" s="271"/>
      <c r="G188" s="239"/>
      <c r="H188" s="239"/>
      <c r="I188" s="239"/>
      <c r="J188" s="239"/>
      <c r="K188" s="239"/>
      <c r="L188" s="239"/>
      <c r="M188" s="239"/>
      <c r="N188" s="239"/>
      <c r="O188" s="239"/>
      <c r="P188" s="239"/>
      <c r="Q188" s="239"/>
      <c r="R188" s="239"/>
      <c r="S188" s="239"/>
      <c r="T188" s="239"/>
      <c r="U188"/>
      <c r="V188"/>
      <c r="W188"/>
      <c r="X188"/>
      <c r="Y188"/>
      <c r="Z188"/>
      <c r="AA188"/>
    </row>
    <row r="189" spans="1:27" hidden="1" x14ac:dyDescent="0.2">
      <c r="A189" s="240"/>
      <c r="B189" s="318"/>
      <c r="C189" s="240"/>
      <c r="D189" s="241"/>
      <c r="E189" s="270"/>
      <c r="F189" s="271"/>
      <c r="G189" s="239"/>
      <c r="H189" s="239"/>
      <c r="I189" s="239"/>
      <c r="J189" s="239"/>
      <c r="K189" s="239"/>
      <c r="L189" s="239"/>
      <c r="M189" s="239"/>
      <c r="N189" s="239"/>
      <c r="O189" s="239"/>
      <c r="P189" s="239"/>
      <c r="Q189" s="239"/>
      <c r="R189" s="239"/>
      <c r="S189" s="239"/>
      <c r="T189" s="239"/>
      <c r="U189"/>
      <c r="V189"/>
      <c r="W189"/>
      <c r="X189"/>
      <c r="Y189"/>
      <c r="Z189"/>
      <c r="AA189"/>
    </row>
    <row r="190" spans="1:27" hidden="1" x14ac:dyDescent="0.2">
      <c r="A190" s="240"/>
      <c r="B190" s="318"/>
      <c r="C190" s="240"/>
      <c r="D190" s="241"/>
      <c r="E190" s="270"/>
      <c r="F190" s="271"/>
      <c r="G190" s="239"/>
      <c r="H190" s="239"/>
      <c r="I190" s="239"/>
      <c r="J190" s="239"/>
      <c r="K190" s="239"/>
      <c r="L190" s="239"/>
      <c r="M190" s="239"/>
      <c r="N190" s="239"/>
      <c r="O190" s="239"/>
      <c r="P190" s="239"/>
      <c r="Q190" s="239"/>
      <c r="R190" s="239"/>
      <c r="S190" s="239"/>
      <c r="T190" s="239"/>
      <c r="U190"/>
      <c r="V190"/>
      <c r="W190"/>
      <c r="X190"/>
      <c r="Y190"/>
      <c r="Z190"/>
      <c r="AA190"/>
    </row>
    <row r="191" spans="1:27" hidden="1" x14ac:dyDescent="0.2">
      <c r="A191" s="240"/>
      <c r="B191" s="318"/>
      <c r="C191" s="240"/>
      <c r="D191" s="241"/>
      <c r="E191" s="270"/>
      <c r="F191" s="271"/>
      <c r="G191" s="239"/>
      <c r="H191" s="239"/>
      <c r="I191" s="239"/>
      <c r="J191" s="239"/>
      <c r="K191" s="239"/>
      <c r="L191" s="239"/>
      <c r="M191" s="239"/>
      <c r="N191" s="239"/>
      <c r="O191" s="239"/>
      <c r="P191" s="239"/>
      <c r="Q191" s="239"/>
      <c r="R191" s="239"/>
      <c r="S191" s="239"/>
      <c r="T191" s="239"/>
      <c r="U191"/>
      <c r="V191"/>
      <c r="W191"/>
      <c r="X191"/>
      <c r="Y191"/>
      <c r="Z191"/>
      <c r="AA191"/>
    </row>
    <row r="192" spans="1:27" hidden="1" x14ac:dyDescent="0.2">
      <c r="A192" s="240"/>
      <c r="B192" s="318"/>
      <c r="C192" s="240"/>
      <c r="D192" s="241"/>
      <c r="E192" s="270"/>
      <c r="F192" s="271"/>
      <c r="G192" s="239"/>
      <c r="H192" s="239"/>
      <c r="I192" s="239"/>
      <c r="J192" s="239"/>
      <c r="K192" s="239"/>
      <c r="L192" s="239"/>
      <c r="M192" s="239"/>
      <c r="N192" s="239"/>
      <c r="O192" s="239"/>
      <c r="P192" s="239"/>
      <c r="Q192" s="239"/>
      <c r="R192" s="239"/>
      <c r="S192" s="239"/>
      <c r="T192" s="239"/>
      <c r="U192"/>
      <c r="V192"/>
      <c r="W192"/>
      <c r="X192"/>
      <c r="Y192"/>
      <c r="Z192"/>
      <c r="AA192"/>
    </row>
    <row r="193" spans="1:27" hidden="1" x14ac:dyDescent="0.2">
      <c r="A193" s="240"/>
      <c r="B193" s="318"/>
      <c r="C193" s="240"/>
      <c r="D193" s="241"/>
      <c r="E193" s="270"/>
      <c r="F193" s="271"/>
      <c r="G193" s="239"/>
      <c r="H193" s="239"/>
      <c r="I193" s="239"/>
      <c r="J193" s="239"/>
      <c r="K193" s="239"/>
      <c r="L193" s="239"/>
      <c r="M193" s="239"/>
      <c r="N193" s="239"/>
      <c r="O193" s="239"/>
      <c r="P193" s="239"/>
      <c r="Q193" s="239"/>
      <c r="R193" s="239"/>
      <c r="S193" s="239"/>
      <c r="T193" s="239"/>
      <c r="U193"/>
      <c r="V193"/>
      <c r="W193"/>
      <c r="X193"/>
      <c r="Y193"/>
      <c r="Z193"/>
      <c r="AA193"/>
    </row>
    <row r="194" spans="1:27" hidden="1" x14ac:dyDescent="0.2">
      <c r="A194" s="240"/>
      <c r="B194" s="318"/>
      <c r="C194" s="240"/>
      <c r="D194" s="241"/>
      <c r="E194" s="270"/>
      <c r="F194" s="271"/>
      <c r="G194" s="239"/>
      <c r="H194" s="239"/>
      <c r="I194" s="239"/>
      <c r="J194" s="239"/>
      <c r="K194" s="239"/>
      <c r="L194" s="239"/>
      <c r="M194" s="239"/>
      <c r="N194" s="239"/>
      <c r="O194" s="239"/>
      <c r="P194" s="239"/>
      <c r="Q194" s="239"/>
      <c r="R194" s="239"/>
      <c r="S194" s="239"/>
      <c r="T194" s="239"/>
      <c r="U194"/>
      <c r="V194"/>
      <c r="W194"/>
      <c r="X194"/>
      <c r="Y194"/>
      <c r="Z194"/>
      <c r="AA194"/>
    </row>
    <row r="195" spans="1:27" hidden="1" x14ac:dyDescent="0.2">
      <c r="A195" s="240"/>
      <c r="B195" s="318"/>
      <c r="C195" s="240"/>
      <c r="D195" s="241"/>
      <c r="E195" s="270"/>
      <c r="F195" s="271"/>
      <c r="G195" s="239"/>
      <c r="H195" s="239"/>
      <c r="I195" s="239"/>
      <c r="J195" s="239"/>
      <c r="K195" s="239"/>
      <c r="L195" s="239"/>
      <c r="M195" s="239"/>
      <c r="N195" s="239"/>
      <c r="O195" s="239"/>
      <c r="P195" s="239"/>
      <c r="Q195" s="239"/>
      <c r="R195" s="239"/>
      <c r="S195" s="239"/>
      <c r="T195" s="239"/>
      <c r="U195"/>
      <c r="V195"/>
      <c r="W195"/>
      <c r="X195"/>
      <c r="Y195"/>
      <c r="Z195"/>
      <c r="AA195"/>
    </row>
    <row r="196" spans="1:27" hidden="1" x14ac:dyDescent="0.2">
      <c r="A196" s="240"/>
      <c r="B196" s="318"/>
      <c r="C196" s="240"/>
      <c r="D196" s="241"/>
      <c r="E196" s="270"/>
      <c r="F196" s="271"/>
      <c r="G196" s="239"/>
      <c r="H196" s="239"/>
      <c r="I196" s="239"/>
      <c r="J196" s="239"/>
      <c r="K196" s="239"/>
      <c r="L196" s="239"/>
      <c r="M196" s="239"/>
      <c r="N196" s="239"/>
      <c r="O196" s="239"/>
      <c r="P196" s="239"/>
      <c r="Q196" s="239"/>
      <c r="R196" s="239"/>
      <c r="S196" s="239"/>
      <c r="T196" s="239"/>
      <c r="U196"/>
      <c r="V196"/>
      <c r="W196"/>
      <c r="X196"/>
      <c r="Y196"/>
      <c r="Z196"/>
      <c r="AA196"/>
    </row>
    <row r="197" spans="1:27" hidden="1" x14ac:dyDescent="0.2">
      <c r="A197" s="240"/>
      <c r="B197" s="318"/>
      <c r="C197" s="240"/>
      <c r="D197" s="241"/>
      <c r="E197" s="270"/>
      <c r="F197" s="271"/>
      <c r="G197" s="239"/>
      <c r="H197" s="239"/>
      <c r="I197" s="239"/>
      <c r="J197" s="239"/>
      <c r="K197" s="239"/>
      <c r="L197" s="239"/>
      <c r="M197" s="239"/>
      <c r="N197" s="239"/>
      <c r="O197" s="239"/>
      <c r="P197" s="239"/>
      <c r="Q197" s="239"/>
      <c r="R197" s="239"/>
      <c r="S197" s="239"/>
      <c r="T197" s="239"/>
      <c r="U197"/>
      <c r="V197"/>
      <c r="W197"/>
      <c r="X197"/>
      <c r="Y197"/>
      <c r="Z197"/>
      <c r="AA197"/>
    </row>
    <row r="198" spans="1:27" hidden="1" x14ac:dyDescent="0.2">
      <c r="A198" s="240"/>
      <c r="B198" s="318"/>
      <c r="C198" s="240"/>
      <c r="D198" s="241"/>
      <c r="E198" s="270"/>
      <c r="F198" s="271"/>
      <c r="G198" s="239"/>
      <c r="H198" s="239"/>
      <c r="I198" s="239"/>
      <c r="J198" s="239"/>
      <c r="K198" s="239"/>
      <c r="L198" s="239"/>
      <c r="M198" s="239"/>
      <c r="N198" s="239"/>
      <c r="O198" s="239"/>
      <c r="P198" s="239"/>
      <c r="Q198" s="239"/>
      <c r="R198" s="239"/>
      <c r="S198" s="239"/>
      <c r="T198" s="239"/>
      <c r="U198"/>
      <c r="V198"/>
      <c r="W198"/>
      <c r="X198"/>
      <c r="Y198"/>
      <c r="Z198"/>
      <c r="AA198"/>
    </row>
    <row r="199" spans="1:27" hidden="1" x14ac:dyDescent="0.2">
      <c r="A199" s="240"/>
      <c r="B199" s="318"/>
      <c r="C199" s="240"/>
      <c r="D199" s="241"/>
      <c r="E199" s="270"/>
      <c r="F199" s="271"/>
      <c r="G199" s="239"/>
      <c r="H199" s="239"/>
      <c r="I199" s="239"/>
      <c r="J199" s="239"/>
      <c r="K199" s="239"/>
      <c r="L199" s="239"/>
      <c r="M199" s="239"/>
      <c r="N199" s="239"/>
      <c r="O199" s="239"/>
      <c r="P199" s="239"/>
      <c r="Q199" s="239"/>
      <c r="R199" s="239"/>
      <c r="S199" s="239"/>
      <c r="T199" s="239"/>
      <c r="U199"/>
      <c r="V199"/>
      <c r="W199"/>
      <c r="X199"/>
      <c r="Y199"/>
      <c r="Z199"/>
      <c r="AA199"/>
    </row>
    <row r="200" spans="1:27" hidden="1" x14ac:dyDescent="0.2">
      <c r="A200" s="240"/>
      <c r="B200" s="318"/>
      <c r="C200" s="240"/>
      <c r="D200" s="241"/>
      <c r="E200" s="270"/>
      <c r="F200" s="271"/>
      <c r="G200" s="239"/>
      <c r="H200" s="239"/>
      <c r="I200" s="239"/>
      <c r="J200" s="239"/>
      <c r="K200" s="239"/>
      <c r="L200" s="239"/>
      <c r="M200" s="239"/>
      <c r="N200" s="239"/>
      <c r="O200" s="239"/>
      <c r="P200" s="239"/>
      <c r="Q200" s="239"/>
      <c r="R200" s="239"/>
      <c r="S200" s="239"/>
      <c r="T200" s="239"/>
      <c r="U200"/>
      <c r="V200"/>
      <c r="W200"/>
      <c r="X200"/>
      <c r="Y200"/>
      <c r="Z200"/>
      <c r="AA200"/>
    </row>
    <row r="201" spans="1:27" hidden="1" x14ac:dyDescent="0.2">
      <c r="A201" s="240"/>
      <c r="B201" s="318"/>
      <c r="C201" s="240"/>
      <c r="D201" s="241"/>
      <c r="E201" s="270"/>
      <c r="F201" s="271"/>
      <c r="G201" s="239"/>
      <c r="H201" s="239"/>
      <c r="I201" s="239"/>
      <c r="J201" s="239"/>
      <c r="K201" s="239"/>
      <c r="L201" s="239"/>
      <c r="M201" s="239"/>
      <c r="N201" s="239"/>
      <c r="O201" s="239"/>
      <c r="P201" s="239"/>
      <c r="Q201" s="239"/>
      <c r="R201" s="239"/>
      <c r="S201" s="239"/>
      <c r="T201" s="239"/>
      <c r="U201"/>
      <c r="V201"/>
      <c r="W201"/>
      <c r="X201"/>
      <c r="Y201"/>
      <c r="Z201"/>
      <c r="AA201"/>
    </row>
    <row r="202" spans="1:27" hidden="1" x14ac:dyDescent="0.2">
      <c r="A202" s="240"/>
      <c r="B202" s="318"/>
      <c r="C202" s="240"/>
      <c r="D202" s="241"/>
      <c r="E202" s="270"/>
      <c r="F202" s="271"/>
      <c r="G202" s="239"/>
      <c r="H202" s="239"/>
      <c r="I202" s="239"/>
      <c r="J202" s="239"/>
      <c r="K202" s="239"/>
      <c r="L202" s="239"/>
      <c r="M202" s="239"/>
      <c r="N202" s="239"/>
      <c r="O202" s="239"/>
      <c r="P202" s="239"/>
      <c r="Q202" s="239"/>
      <c r="R202" s="239"/>
      <c r="S202" s="239"/>
      <c r="T202" s="239"/>
      <c r="U202"/>
      <c r="V202"/>
      <c r="W202"/>
      <c r="X202"/>
      <c r="Y202"/>
      <c r="Z202"/>
      <c r="AA202"/>
    </row>
    <row r="203" spans="1:27" hidden="1" x14ac:dyDescent="0.2">
      <c r="A203" s="240"/>
      <c r="B203" s="318"/>
      <c r="C203" s="240"/>
      <c r="D203" s="241"/>
      <c r="E203" s="270"/>
      <c r="F203" s="271"/>
      <c r="G203" s="239"/>
      <c r="H203" s="239"/>
      <c r="I203" s="239"/>
      <c r="J203" s="239"/>
      <c r="K203" s="239"/>
      <c r="L203" s="239"/>
      <c r="M203" s="239"/>
      <c r="N203" s="239"/>
      <c r="O203" s="239"/>
      <c r="P203" s="239"/>
      <c r="Q203" s="239"/>
      <c r="R203" s="239"/>
      <c r="S203" s="239"/>
      <c r="T203" s="239"/>
      <c r="U203"/>
      <c r="V203"/>
      <c r="W203"/>
      <c r="X203"/>
      <c r="Y203"/>
      <c r="Z203"/>
      <c r="AA203"/>
    </row>
    <row r="204" spans="1:27" hidden="1" x14ac:dyDescent="0.2">
      <c r="A204" s="240"/>
      <c r="B204" s="318"/>
      <c r="C204" s="240"/>
      <c r="D204" s="241"/>
      <c r="E204" s="270"/>
      <c r="F204" s="271"/>
      <c r="G204" s="239"/>
      <c r="H204" s="239"/>
      <c r="I204" s="239"/>
      <c r="J204" s="239"/>
      <c r="K204" s="239"/>
      <c r="L204" s="239"/>
      <c r="M204" s="239"/>
      <c r="N204" s="239"/>
      <c r="O204" s="239"/>
      <c r="P204" s="239"/>
      <c r="Q204" s="239"/>
      <c r="R204" s="239"/>
      <c r="S204" s="239"/>
      <c r="T204" s="239"/>
      <c r="U204"/>
      <c r="V204"/>
      <c r="W204"/>
      <c r="X204"/>
      <c r="Y204"/>
      <c r="Z204"/>
      <c r="AA204"/>
    </row>
    <row r="205" spans="1:27" hidden="1" x14ac:dyDescent="0.2">
      <c r="A205" s="240"/>
      <c r="B205" s="318"/>
      <c r="C205" s="240"/>
      <c r="D205" s="241"/>
      <c r="E205" s="270"/>
      <c r="F205" s="271"/>
      <c r="G205" s="239"/>
      <c r="H205" s="239"/>
      <c r="I205" s="239"/>
      <c r="J205" s="239"/>
      <c r="K205" s="239"/>
      <c r="L205" s="239"/>
      <c r="M205" s="239"/>
      <c r="N205" s="239"/>
      <c r="O205" s="239"/>
      <c r="P205" s="239"/>
      <c r="Q205" s="239"/>
      <c r="R205" s="239"/>
      <c r="S205" s="239"/>
      <c r="T205" s="239"/>
      <c r="U205"/>
      <c r="V205"/>
      <c r="W205"/>
      <c r="X205"/>
      <c r="Y205"/>
      <c r="Z205"/>
      <c r="AA205"/>
    </row>
    <row r="206" spans="1:27" hidden="1" x14ac:dyDescent="0.2">
      <c r="A206" s="240"/>
      <c r="B206" s="318"/>
      <c r="C206" s="240"/>
      <c r="D206" s="241"/>
      <c r="E206" s="270"/>
      <c r="F206" s="271"/>
      <c r="G206" s="239"/>
      <c r="H206" s="239"/>
      <c r="I206" s="239"/>
      <c r="J206" s="239"/>
      <c r="K206" s="239"/>
      <c r="L206" s="239"/>
      <c r="M206" s="239"/>
      <c r="N206" s="239"/>
      <c r="O206" s="239"/>
      <c r="P206" s="239"/>
      <c r="Q206" s="239"/>
      <c r="R206" s="239"/>
      <c r="S206" s="239"/>
      <c r="T206" s="239"/>
      <c r="U206"/>
      <c r="V206"/>
      <c r="W206"/>
      <c r="X206"/>
      <c r="Y206"/>
      <c r="Z206"/>
      <c r="AA206"/>
    </row>
    <row r="207" spans="1:27" hidden="1" x14ac:dyDescent="0.2">
      <c r="A207" s="240"/>
      <c r="B207" s="318"/>
      <c r="C207" s="240"/>
      <c r="D207" s="241"/>
      <c r="E207" s="270"/>
      <c r="F207" s="271"/>
      <c r="G207" s="239"/>
      <c r="H207" s="239"/>
      <c r="I207" s="239"/>
      <c r="J207" s="239"/>
      <c r="K207" s="239"/>
      <c r="L207" s="239"/>
      <c r="M207" s="239"/>
      <c r="N207" s="239"/>
      <c r="O207" s="239"/>
      <c r="P207" s="239"/>
      <c r="Q207" s="239"/>
      <c r="R207" s="239"/>
      <c r="S207" s="239"/>
      <c r="T207" s="239"/>
      <c r="U207"/>
      <c r="V207"/>
      <c r="W207"/>
      <c r="X207"/>
      <c r="Y207"/>
      <c r="Z207"/>
      <c r="AA207"/>
    </row>
    <row r="208" spans="1:27" hidden="1" x14ac:dyDescent="0.2">
      <c r="A208" s="240"/>
      <c r="B208" s="318"/>
      <c r="C208" s="240"/>
      <c r="D208" s="241"/>
      <c r="E208" s="270"/>
      <c r="F208" s="271"/>
      <c r="G208" s="239"/>
      <c r="H208" s="239"/>
      <c r="I208" s="239"/>
      <c r="J208" s="239"/>
      <c r="K208" s="239"/>
      <c r="L208" s="239"/>
      <c r="M208" s="239"/>
      <c r="N208" s="239"/>
      <c r="O208" s="239"/>
      <c r="P208" s="239"/>
      <c r="Q208" s="239"/>
      <c r="R208" s="239"/>
      <c r="S208" s="239"/>
      <c r="T208" s="239"/>
      <c r="U208"/>
      <c r="V208"/>
      <c r="W208"/>
      <c r="X208"/>
      <c r="Y208"/>
      <c r="Z208"/>
      <c r="AA208"/>
    </row>
    <row r="209" spans="1:27" hidden="1" x14ac:dyDescent="0.2">
      <c r="A209" s="240"/>
      <c r="B209" s="318"/>
      <c r="C209" s="240"/>
      <c r="D209" s="241"/>
      <c r="E209" s="270"/>
      <c r="F209" s="271"/>
      <c r="G209" s="239"/>
      <c r="H209" s="239"/>
      <c r="I209" s="239"/>
      <c r="J209" s="239"/>
      <c r="K209" s="239"/>
      <c r="L209" s="239"/>
      <c r="M209" s="239"/>
      <c r="N209" s="239"/>
      <c r="O209" s="239"/>
      <c r="P209" s="239"/>
      <c r="Q209" s="239"/>
      <c r="R209" s="239"/>
      <c r="S209" s="239"/>
      <c r="T209" s="239"/>
      <c r="U209"/>
      <c r="V209"/>
      <c r="W209"/>
      <c r="X209"/>
      <c r="Y209"/>
      <c r="Z209"/>
      <c r="AA209"/>
    </row>
    <row r="210" spans="1:27" hidden="1" x14ac:dyDescent="0.2">
      <c r="A210" s="240"/>
      <c r="B210" s="318"/>
      <c r="C210" s="240"/>
      <c r="D210" s="241"/>
      <c r="E210" s="270"/>
      <c r="F210" s="271"/>
      <c r="G210" s="239"/>
      <c r="H210" s="239"/>
      <c r="I210" s="239"/>
      <c r="J210" s="239"/>
      <c r="K210" s="239"/>
      <c r="L210" s="239"/>
      <c r="M210" s="239"/>
      <c r="N210" s="239"/>
      <c r="O210" s="239"/>
      <c r="P210" s="239"/>
      <c r="Q210" s="239"/>
      <c r="R210" s="239"/>
      <c r="S210" s="239"/>
      <c r="T210" s="239"/>
      <c r="U210"/>
      <c r="V210"/>
      <c r="W210"/>
      <c r="X210"/>
      <c r="Y210"/>
      <c r="Z210"/>
      <c r="AA210"/>
    </row>
    <row r="211" spans="1:27" hidden="1" x14ac:dyDescent="0.2">
      <c r="A211" s="240"/>
      <c r="B211" s="318"/>
      <c r="C211" s="240"/>
      <c r="D211" s="241"/>
      <c r="E211" s="270"/>
      <c r="F211" s="271"/>
      <c r="G211" s="239"/>
      <c r="H211" s="239"/>
      <c r="I211" s="239"/>
      <c r="J211" s="239"/>
      <c r="K211" s="239"/>
      <c r="L211" s="239"/>
      <c r="M211" s="239"/>
      <c r="N211" s="239"/>
      <c r="O211" s="239"/>
      <c r="P211" s="239"/>
      <c r="Q211" s="239"/>
      <c r="R211" s="239"/>
      <c r="S211" s="239"/>
      <c r="T211" s="239"/>
      <c r="U211"/>
      <c r="V211"/>
      <c r="W211"/>
      <c r="X211"/>
      <c r="Y211"/>
      <c r="Z211"/>
      <c r="AA211"/>
    </row>
    <row r="212" spans="1:27" hidden="1" x14ac:dyDescent="0.2">
      <c r="A212" s="240"/>
      <c r="B212" s="318"/>
      <c r="C212" s="240"/>
      <c r="D212" s="241"/>
      <c r="E212" s="270"/>
      <c r="F212" s="271"/>
      <c r="G212" s="239"/>
      <c r="H212" s="239"/>
      <c r="I212" s="239"/>
      <c r="J212" s="239"/>
      <c r="K212" s="239"/>
      <c r="L212" s="239"/>
      <c r="M212" s="239"/>
      <c r="N212" s="239"/>
      <c r="O212" s="239"/>
      <c r="P212" s="239"/>
      <c r="Q212" s="239"/>
      <c r="R212" s="239"/>
      <c r="S212" s="239"/>
      <c r="T212" s="239"/>
      <c r="U212"/>
      <c r="V212"/>
      <c r="W212"/>
      <c r="X212"/>
      <c r="Y212"/>
      <c r="Z212"/>
      <c r="AA212"/>
    </row>
    <row r="213" spans="1:27" hidden="1" x14ac:dyDescent="0.2">
      <c r="A213" s="240"/>
      <c r="B213" s="318"/>
      <c r="C213" s="240"/>
      <c r="D213" s="241"/>
      <c r="E213" s="270"/>
      <c r="F213" s="271"/>
      <c r="G213" s="239"/>
      <c r="H213" s="239"/>
      <c r="I213" s="239"/>
      <c r="J213" s="239"/>
      <c r="K213" s="239"/>
      <c r="L213" s="239"/>
      <c r="M213" s="239"/>
      <c r="N213" s="239"/>
      <c r="O213" s="239"/>
      <c r="P213" s="239"/>
      <c r="Q213" s="239"/>
      <c r="R213" s="239"/>
      <c r="S213" s="239"/>
      <c r="T213" s="239"/>
      <c r="U213"/>
      <c r="V213"/>
      <c r="W213"/>
      <c r="X213"/>
      <c r="Y213"/>
      <c r="Z213"/>
      <c r="AA213"/>
    </row>
    <row r="214" spans="1:27" hidden="1" x14ac:dyDescent="0.2">
      <c r="A214" s="240"/>
      <c r="B214" s="318"/>
      <c r="C214" s="240"/>
      <c r="D214" s="241"/>
      <c r="E214" s="270"/>
      <c r="F214" s="271"/>
      <c r="G214" s="239"/>
      <c r="H214" s="239"/>
      <c r="I214" s="239"/>
      <c r="J214" s="239"/>
      <c r="K214" s="239"/>
      <c r="L214" s="239"/>
      <c r="M214" s="239"/>
      <c r="N214" s="239"/>
      <c r="O214" s="239"/>
      <c r="P214" s="239"/>
      <c r="Q214" s="239"/>
      <c r="R214" s="239"/>
      <c r="S214" s="239"/>
      <c r="T214" s="239"/>
      <c r="U214"/>
      <c r="V214"/>
      <c r="W214"/>
      <c r="X214"/>
      <c r="Y214"/>
      <c r="Z214"/>
      <c r="AA214"/>
    </row>
    <row r="215" spans="1:27" hidden="1" x14ac:dyDescent="0.2">
      <c r="A215" s="240"/>
      <c r="B215" s="318"/>
      <c r="C215" s="240"/>
      <c r="D215" s="241"/>
      <c r="E215" s="270"/>
      <c r="F215" s="271"/>
      <c r="G215" s="239"/>
      <c r="H215" s="239"/>
      <c r="I215" s="239"/>
      <c r="J215" s="239"/>
      <c r="K215" s="239"/>
      <c r="L215" s="239"/>
      <c r="M215" s="239"/>
      <c r="N215" s="239"/>
      <c r="O215" s="239"/>
      <c r="P215" s="239"/>
      <c r="Q215" s="239"/>
      <c r="R215" s="239"/>
      <c r="S215" s="239"/>
      <c r="T215" s="239"/>
      <c r="U215"/>
      <c r="V215"/>
      <c r="W215"/>
      <c r="X215"/>
      <c r="Y215"/>
      <c r="Z215"/>
      <c r="AA215"/>
    </row>
    <row r="216" spans="1:27" hidden="1" x14ac:dyDescent="0.2">
      <c r="A216" s="240"/>
      <c r="B216" s="318"/>
      <c r="C216" s="240"/>
      <c r="D216" s="241"/>
      <c r="E216" s="270"/>
      <c r="F216" s="271"/>
      <c r="G216" s="239"/>
      <c r="H216" s="239"/>
      <c r="I216" s="239"/>
      <c r="J216" s="239"/>
      <c r="K216" s="239"/>
      <c r="L216" s="239"/>
      <c r="M216" s="239"/>
      <c r="N216" s="239"/>
      <c r="O216" s="239"/>
      <c r="P216" s="239"/>
      <c r="Q216" s="239"/>
      <c r="R216" s="239"/>
      <c r="S216" s="239"/>
      <c r="T216" s="239"/>
      <c r="U216"/>
      <c r="V216"/>
      <c r="W216"/>
      <c r="X216"/>
      <c r="Y216"/>
      <c r="Z216"/>
      <c r="AA216"/>
    </row>
    <row r="217" spans="1:27" hidden="1" x14ac:dyDescent="0.2">
      <c r="A217" s="240"/>
      <c r="B217" s="318"/>
      <c r="C217" s="240"/>
      <c r="D217" s="241"/>
      <c r="E217" s="270"/>
      <c r="F217" s="271"/>
      <c r="G217" s="239"/>
      <c r="H217" s="239"/>
      <c r="I217" s="239"/>
      <c r="J217" s="239"/>
      <c r="K217" s="239"/>
      <c r="L217" s="239"/>
      <c r="M217" s="239"/>
      <c r="N217" s="239"/>
      <c r="O217" s="239"/>
      <c r="P217" s="239"/>
      <c r="Q217" s="239"/>
      <c r="R217" s="239"/>
      <c r="S217" s="239"/>
      <c r="T217" s="239"/>
      <c r="U217"/>
      <c r="V217"/>
      <c r="W217"/>
      <c r="X217"/>
      <c r="Y217"/>
      <c r="Z217"/>
      <c r="AA217"/>
    </row>
    <row r="218" spans="1:27" hidden="1" x14ac:dyDescent="0.2">
      <c r="A218" s="240"/>
      <c r="B218" s="318"/>
      <c r="C218" s="240"/>
      <c r="D218" s="241"/>
      <c r="E218" s="270"/>
      <c r="F218" s="271"/>
      <c r="G218" s="239"/>
      <c r="H218" s="239"/>
      <c r="I218" s="239"/>
      <c r="J218" s="239"/>
      <c r="K218" s="239"/>
      <c r="L218" s="239"/>
      <c r="M218" s="239"/>
      <c r="N218" s="239"/>
      <c r="O218" s="239"/>
      <c r="P218" s="239"/>
      <c r="Q218" s="239"/>
      <c r="R218" s="239"/>
      <c r="S218" s="239"/>
      <c r="T218" s="239"/>
      <c r="U218"/>
      <c r="V218"/>
      <c r="W218"/>
      <c r="X218"/>
      <c r="Y218"/>
      <c r="Z218"/>
      <c r="AA218"/>
    </row>
    <row r="219" spans="1:27" hidden="1" x14ac:dyDescent="0.2">
      <c r="A219" s="240"/>
      <c r="B219" s="318"/>
      <c r="C219" s="240"/>
      <c r="D219" s="241"/>
      <c r="E219" s="270"/>
      <c r="F219" s="271"/>
      <c r="G219" s="239"/>
      <c r="H219" s="239"/>
      <c r="I219" s="239"/>
      <c r="J219" s="239"/>
      <c r="K219" s="239"/>
      <c r="L219" s="239"/>
      <c r="M219" s="239"/>
      <c r="N219" s="239"/>
      <c r="O219" s="239"/>
      <c r="P219" s="239"/>
      <c r="Q219" s="239"/>
      <c r="R219" s="239"/>
      <c r="S219" s="239"/>
      <c r="T219" s="239"/>
      <c r="U219"/>
      <c r="V219"/>
      <c r="W219"/>
      <c r="X219"/>
      <c r="Y219"/>
      <c r="Z219"/>
      <c r="AA219"/>
    </row>
    <row r="220" spans="1:27" hidden="1" x14ac:dyDescent="0.2">
      <c r="A220" s="240"/>
      <c r="B220" s="318"/>
      <c r="C220" s="240"/>
      <c r="D220" s="241"/>
      <c r="E220" s="270"/>
      <c r="F220" s="271"/>
      <c r="G220" s="239"/>
      <c r="H220" s="239"/>
      <c r="I220" s="239"/>
      <c r="J220" s="239"/>
      <c r="K220" s="239"/>
      <c r="L220" s="239"/>
      <c r="M220" s="239"/>
      <c r="N220" s="239"/>
      <c r="O220" s="239"/>
      <c r="P220" s="239"/>
      <c r="Q220" s="239"/>
      <c r="R220" s="239"/>
      <c r="S220" s="239"/>
      <c r="T220" s="239"/>
      <c r="U220"/>
      <c r="V220"/>
      <c r="W220"/>
      <c r="X220"/>
      <c r="Y220"/>
      <c r="Z220"/>
      <c r="AA220"/>
    </row>
    <row r="221" spans="1:27" hidden="1" x14ac:dyDescent="0.2">
      <c r="A221" s="240"/>
      <c r="B221" s="318"/>
      <c r="C221" s="240"/>
      <c r="D221" s="241"/>
      <c r="E221" s="270"/>
      <c r="F221" s="271"/>
      <c r="G221" s="239"/>
      <c r="H221" s="239"/>
      <c r="I221" s="239"/>
      <c r="J221" s="239"/>
      <c r="K221" s="239"/>
      <c r="L221" s="239"/>
      <c r="M221" s="239"/>
      <c r="N221" s="239"/>
      <c r="O221" s="239"/>
      <c r="P221" s="239"/>
      <c r="Q221" s="239"/>
      <c r="R221" s="239"/>
      <c r="S221" s="239"/>
      <c r="T221" s="239"/>
      <c r="U221"/>
      <c r="V221"/>
      <c r="W221"/>
      <c r="X221"/>
      <c r="Y221"/>
      <c r="Z221"/>
      <c r="AA221"/>
    </row>
    <row r="222" spans="1:27" hidden="1" x14ac:dyDescent="0.2">
      <c r="A222" s="240"/>
      <c r="B222" s="318"/>
      <c r="C222" s="240"/>
      <c r="D222" s="241"/>
      <c r="E222" s="270"/>
      <c r="F222" s="271"/>
      <c r="G222" s="239"/>
      <c r="H222" s="239"/>
      <c r="I222" s="239"/>
      <c r="J222" s="239"/>
      <c r="K222" s="239"/>
      <c r="L222" s="239"/>
      <c r="M222" s="239"/>
      <c r="N222" s="239"/>
      <c r="O222" s="239"/>
      <c r="P222" s="239"/>
      <c r="Q222" s="239"/>
      <c r="R222" s="239"/>
      <c r="S222" s="239"/>
      <c r="T222" s="239"/>
      <c r="U222"/>
      <c r="V222"/>
      <c r="W222"/>
      <c r="X222"/>
      <c r="Y222"/>
      <c r="Z222"/>
      <c r="AA222"/>
    </row>
    <row r="223" spans="1:27" hidden="1" x14ac:dyDescent="0.2">
      <c r="A223" s="240"/>
      <c r="B223" s="318"/>
      <c r="C223" s="240"/>
      <c r="D223" s="241"/>
      <c r="E223" s="270"/>
      <c r="F223" s="271"/>
      <c r="G223" s="239"/>
      <c r="H223" s="239"/>
      <c r="I223" s="239"/>
      <c r="J223" s="239"/>
      <c r="K223" s="239"/>
      <c r="L223" s="239"/>
      <c r="M223" s="239"/>
      <c r="N223" s="239"/>
      <c r="O223" s="239"/>
      <c r="P223" s="239"/>
      <c r="Q223" s="239"/>
      <c r="R223" s="239"/>
      <c r="S223" s="239"/>
      <c r="T223" s="239"/>
      <c r="U223"/>
      <c r="V223"/>
      <c r="W223"/>
      <c r="X223"/>
      <c r="Y223"/>
      <c r="Z223"/>
      <c r="AA223"/>
    </row>
    <row r="224" spans="1:27" hidden="1" x14ac:dyDescent="0.2">
      <c r="A224" s="240"/>
      <c r="B224" s="318"/>
      <c r="C224" s="240"/>
      <c r="D224" s="241"/>
      <c r="E224" s="270"/>
      <c r="F224" s="271"/>
      <c r="G224" s="239"/>
      <c r="H224" s="239"/>
      <c r="I224" s="239"/>
      <c r="J224" s="239"/>
      <c r="K224" s="239"/>
      <c r="L224" s="239"/>
      <c r="M224" s="239"/>
      <c r="N224" s="239"/>
      <c r="O224" s="239"/>
      <c r="P224" s="239"/>
      <c r="Q224" s="239"/>
      <c r="R224" s="239"/>
      <c r="S224" s="239"/>
      <c r="T224" s="239"/>
      <c r="U224"/>
      <c r="V224"/>
      <c r="W224"/>
      <c r="X224"/>
      <c r="Y224"/>
      <c r="Z224"/>
      <c r="AA224"/>
    </row>
    <row r="225" spans="1:27" hidden="1" x14ac:dyDescent="0.2">
      <c r="A225" s="240"/>
      <c r="B225" s="318"/>
      <c r="C225" s="240"/>
      <c r="D225" s="241"/>
      <c r="E225" s="270"/>
      <c r="F225" s="271"/>
      <c r="G225" s="239"/>
      <c r="H225" s="239"/>
      <c r="I225" s="239"/>
      <c r="J225" s="239"/>
      <c r="K225" s="239"/>
      <c r="L225" s="239"/>
      <c r="M225" s="239"/>
      <c r="N225" s="239"/>
      <c r="O225" s="239"/>
      <c r="P225" s="239"/>
      <c r="Q225" s="239"/>
      <c r="R225" s="239"/>
      <c r="S225" s="239"/>
      <c r="T225" s="239"/>
      <c r="U225"/>
      <c r="V225"/>
      <c r="W225"/>
      <c r="X225"/>
      <c r="Y225"/>
      <c r="Z225"/>
      <c r="AA225"/>
    </row>
    <row r="226" spans="1:27" hidden="1" x14ac:dyDescent="0.2">
      <c r="A226" s="240"/>
      <c r="B226" s="318"/>
      <c r="C226" s="240"/>
      <c r="D226" s="241"/>
      <c r="E226" s="270"/>
      <c r="F226" s="271"/>
      <c r="G226" s="239"/>
      <c r="H226" s="239"/>
      <c r="I226" s="239"/>
      <c r="J226" s="239"/>
      <c r="K226" s="239"/>
      <c r="L226" s="239"/>
      <c r="M226" s="239"/>
      <c r="N226" s="239"/>
      <c r="O226" s="239"/>
      <c r="P226" s="239"/>
      <c r="Q226" s="239"/>
      <c r="R226" s="239"/>
      <c r="S226" s="239"/>
      <c r="T226" s="239"/>
      <c r="U226"/>
      <c r="V226"/>
      <c r="W226"/>
      <c r="X226"/>
      <c r="Y226"/>
      <c r="Z226"/>
      <c r="AA226"/>
    </row>
    <row r="227" spans="1:27" hidden="1" x14ac:dyDescent="0.2">
      <c r="A227" s="240"/>
      <c r="B227" s="318"/>
      <c r="C227" s="240"/>
      <c r="D227" s="241"/>
      <c r="E227" s="270"/>
      <c r="F227" s="271"/>
      <c r="G227" s="239"/>
      <c r="H227" s="239"/>
      <c r="I227" s="239"/>
      <c r="J227" s="239"/>
      <c r="K227" s="239"/>
      <c r="L227" s="239"/>
      <c r="M227" s="239"/>
      <c r="N227" s="239"/>
      <c r="O227" s="239"/>
      <c r="P227" s="239"/>
      <c r="Q227" s="239"/>
      <c r="R227" s="239"/>
      <c r="S227" s="239"/>
      <c r="T227" s="239"/>
      <c r="U227"/>
      <c r="V227"/>
      <c r="W227"/>
      <c r="X227"/>
      <c r="Y227"/>
      <c r="Z227"/>
      <c r="AA227"/>
    </row>
    <row r="228" spans="1:27" hidden="1" x14ac:dyDescent="0.2">
      <c r="A228" s="240"/>
      <c r="B228" s="318"/>
      <c r="C228" s="240"/>
      <c r="D228" s="241"/>
      <c r="E228" s="270"/>
      <c r="F228" s="271"/>
      <c r="G228" s="239"/>
      <c r="H228" s="239"/>
      <c r="I228" s="239"/>
      <c r="J228" s="239"/>
      <c r="K228" s="239"/>
      <c r="L228" s="239"/>
      <c r="M228" s="239"/>
      <c r="N228" s="239"/>
      <c r="O228" s="239"/>
      <c r="P228" s="239"/>
      <c r="Q228" s="239"/>
      <c r="R228" s="239"/>
      <c r="S228" s="239"/>
      <c r="T228" s="239"/>
      <c r="U228"/>
      <c r="V228"/>
      <c r="W228"/>
      <c r="X228"/>
      <c r="Y228"/>
      <c r="Z228"/>
      <c r="AA228"/>
    </row>
    <row r="229" spans="1:27" hidden="1" x14ac:dyDescent="0.2">
      <c r="A229" s="240"/>
      <c r="B229" s="318"/>
      <c r="C229" s="240"/>
      <c r="D229" s="241"/>
      <c r="E229" s="270"/>
      <c r="F229" s="271"/>
      <c r="G229" s="239"/>
      <c r="H229" s="239"/>
      <c r="I229" s="239"/>
      <c r="J229" s="239"/>
      <c r="K229" s="239"/>
      <c r="L229" s="239"/>
      <c r="M229" s="239"/>
      <c r="N229" s="239"/>
      <c r="O229" s="239"/>
      <c r="P229" s="239"/>
      <c r="Q229" s="239"/>
      <c r="R229" s="239"/>
      <c r="S229" s="239"/>
      <c r="T229" s="239"/>
      <c r="U229"/>
      <c r="V229"/>
      <c r="W229"/>
      <c r="X229"/>
      <c r="Y229"/>
      <c r="Z229"/>
      <c r="AA229"/>
    </row>
    <row r="230" spans="1:27" hidden="1" x14ac:dyDescent="0.2">
      <c r="A230" s="240"/>
      <c r="B230" s="318"/>
      <c r="C230" s="240"/>
      <c r="D230" s="241"/>
      <c r="E230" s="270"/>
      <c r="F230" s="271"/>
      <c r="G230" s="239"/>
      <c r="H230" s="239"/>
      <c r="I230" s="239"/>
      <c r="J230" s="239"/>
      <c r="K230" s="239"/>
      <c r="L230" s="239"/>
      <c r="M230" s="239"/>
      <c r="N230" s="239"/>
      <c r="O230" s="239"/>
      <c r="P230" s="239"/>
      <c r="Q230" s="239"/>
      <c r="R230" s="239"/>
      <c r="S230" s="239"/>
      <c r="T230" s="239"/>
      <c r="U230"/>
      <c r="V230"/>
      <c r="W230"/>
      <c r="X230"/>
      <c r="Y230"/>
      <c r="Z230"/>
      <c r="AA230"/>
    </row>
    <row r="231" spans="1:27" hidden="1" x14ac:dyDescent="0.2">
      <c r="A231" s="240"/>
      <c r="B231" s="318"/>
      <c r="C231" s="240"/>
      <c r="D231" s="241"/>
      <c r="E231" s="270"/>
      <c r="F231" s="271"/>
      <c r="G231" s="239"/>
      <c r="H231" s="239"/>
      <c r="I231" s="239"/>
      <c r="J231" s="239"/>
      <c r="K231" s="239"/>
      <c r="L231" s="239"/>
      <c r="M231" s="239"/>
      <c r="N231" s="239"/>
      <c r="O231" s="239"/>
      <c r="P231" s="239"/>
      <c r="Q231" s="239"/>
      <c r="R231" s="239"/>
      <c r="S231" s="239"/>
      <c r="T231" s="239"/>
      <c r="U231"/>
      <c r="V231"/>
      <c r="W231"/>
      <c r="X231"/>
      <c r="Y231"/>
      <c r="Z231"/>
      <c r="AA231"/>
    </row>
    <row r="232" spans="1:27" hidden="1" x14ac:dyDescent="0.2">
      <c r="A232" s="240"/>
      <c r="B232" s="318"/>
      <c r="C232" s="240"/>
      <c r="D232" s="241"/>
      <c r="E232" s="270"/>
      <c r="F232" s="271"/>
      <c r="G232" s="239"/>
      <c r="H232" s="239"/>
      <c r="I232" s="239"/>
      <c r="J232" s="239"/>
      <c r="K232" s="239"/>
      <c r="L232" s="239"/>
      <c r="M232" s="239"/>
      <c r="N232" s="239"/>
      <c r="O232" s="239"/>
      <c r="P232" s="239"/>
      <c r="Q232" s="239"/>
      <c r="R232" s="239"/>
      <c r="S232" s="239"/>
      <c r="T232" s="239"/>
      <c r="U232"/>
      <c r="V232"/>
      <c r="W232"/>
      <c r="X232"/>
      <c r="Y232"/>
      <c r="Z232"/>
      <c r="AA232"/>
    </row>
    <row r="233" spans="1:27" hidden="1" x14ac:dyDescent="0.2">
      <c r="A233" s="240"/>
      <c r="B233" s="318"/>
      <c r="C233" s="240"/>
      <c r="D233" s="241"/>
      <c r="E233" s="270"/>
      <c r="F233" s="271"/>
      <c r="G233" s="239"/>
      <c r="H233" s="239"/>
      <c r="I233" s="239"/>
      <c r="J233" s="239"/>
      <c r="K233" s="239"/>
      <c r="L233" s="239"/>
      <c r="M233" s="239"/>
      <c r="N233" s="239"/>
      <c r="O233" s="239"/>
      <c r="P233" s="239"/>
      <c r="Q233" s="239"/>
      <c r="R233" s="239"/>
      <c r="S233" s="239"/>
      <c r="T233" s="239"/>
      <c r="U233"/>
      <c r="V233"/>
      <c r="W233"/>
      <c r="X233"/>
      <c r="Y233"/>
      <c r="Z233"/>
      <c r="AA233"/>
    </row>
    <row r="234" spans="1:27" hidden="1" x14ac:dyDescent="0.2">
      <c r="A234" s="240"/>
      <c r="B234" s="318"/>
      <c r="C234" s="240"/>
      <c r="D234" s="241"/>
      <c r="E234" s="270"/>
      <c r="F234" s="271"/>
      <c r="G234" s="239"/>
      <c r="H234" s="239"/>
      <c r="I234" s="239"/>
      <c r="J234" s="239"/>
      <c r="K234" s="239"/>
      <c r="L234" s="239"/>
      <c r="M234" s="239"/>
      <c r="N234" s="239"/>
      <c r="O234" s="239"/>
      <c r="P234" s="239"/>
      <c r="Q234" s="239"/>
      <c r="R234" s="239"/>
      <c r="S234" s="239"/>
      <c r="T234" s="239"/>
      <c r="U234"/>
      <c r="V234"/>
      <c r="W234"/>
      <c r="X234"/>
      <c r="Y234"/>
      <c r="Z234"/>
      <c r="AA234"/>
    </row>
    <row r="235" spans="1:27" hidden="1" x14ac:dyDescent="0.2">
      <c r="A235" s="240"/>
      <c r="B235" s="318"/>
      <c r="C235" s="240"/>
      <c r="D235" s="241"/>
      <c r="E235" s="270"/>
      <c r="F235" s="271"/>
      <c r="G235" s="239"/>
      <c r="H235" s="239"/>
      <c r="I235" s="239"/>
      <c r="J235" s="239"/>
      <c r="K235" s="239"/>
      <c r="L235" s="239"/>
      <c r="M235" s="239"/>
      <c r="N235" s="239"/>
      <c r="O235" s="239"/>
      <c r="P235" s="239"/>
      <c r="Q235" s="239"/>
      <c r="R235" s="239"/>
      <c r="S235" s="239"/>
      <c r="T235" s="239"/>
      <c r="U235"/>
      <c r="V235"/>
      <c r="W235"/>
      <c r="X235"/>
      <c r="Y235"/>
      <c r="Z235"/>
      <c r="AA235"/>
    </row>
    <row r="236" spans="1:27" hidden="1" x14ac:dyDescent="0.2">
      <c r="A236" s="240"/>
      <c r="B236" s="318"/>
      <c r="C236" s="240"/>
      <c r="D236" s="241"/>
      <c r="E236" s="270"/>
      <c r="F236" s="271"/>
      <c r="G236" s="239"/>
      <c r="H236" s="239"/>
      <c r="I236" s="239"/>
      <c r="J236" s="239"/>
      <c r="K236" s="239"/>
      <c r="L236" s="239"/>
      <c r="M236" s="239"/>
      <c r="N236" s="239"/>
      <c r="O236" s="239"/>
      <c r="P236" s="239"/>
      <c r="Q236" s="239"/>
      <c r="R236" s="239"/>
      <c r="S236" s="239"/>
      <c r="T236" s="239"/>
      <c r="U236"/>
      <c r="V236"/>
      <c r="W236"/>
      <c r="X236"/>
      <c r="Y236"/>
      <c r="Z236"/>
      <c r="AA236"/>
    </row>
    <row r="237" spans="1:27" hidden="1" x14ac:dyDescent="0.2">
      <c r="A237" s="240"/>
      <c r="B237" s="318"/>
      <c r="C237" s="240"/>
      <c r="D237" s="241"/>
      <c r="E237" s="270"/>
      <c r="F237" s="271"/>
      <c r="G237" s="239"/>
      <c r="H237" s="239"/>
      <c r="I237" s="239"/>
      <c r="J237" s="239"/>
      <c r="K237" s="239"/>
      <c r="L237" s="239"/>
      <c r="M237" s="239"/>
      <c r="N237" s="239"/>
      <c r="O237" s="239"/>
      <c r="P237" s="239"/>
      <c r="Q237" s="239"/>
      <c r="R237" s="239"/>
      <c r="S237" s="239"/>
      <c r="T237" s="239"/>
      <c r="U237"/>
      <c r="V237"/>
      <c r="W237"/>
      <c r="X237"/>
      <c r="Y237"/>
      <c r="Z237"/>
      <c r="AA237"/>
    </row>
    <row r="238" spans="1:27" hidden="1" x14ac:dyDescent="0.2">
      <c r="A238" s="240"/>
      <c r="B238" s="318"/>
      <c r="C238" s="240"/>
      <c r="D238" s="241"/>
      <c r="E238" s="270"/>
      <c r="F238" s="271"/>
      <c r="G238" s="239"/>
      <c r="H238" s="239"/>
      <c r="I238" s="239"/>
      <c r="J238" s="239"/>
      <c r="K238" s="239"/>
      <c r="L238" s="239"/>
      <c r="M238" s="239"/>
      <c r="N238" s="239"/>
      <c r="O238" s="239"/>
      <c r="P238" s="239"/>
      <c r="Q238" s="239"/>
      <c r="R238" s="239"/>
      <c r="S238" s="239"/>
      <c r="T238" s="239"/>
      <c r="U238"/>
      <c r="V238"/>
      <c r="W238"/>
      <c r="X238"/>
      <c r="Y238"/>
      <c r="Z238"/>
      <c r="AA238"/>
    </row>
    <row r="239" spans="1:27" hidden="1" x14ac:dyDescent="0.2">
      <c r="A239" s="240"/>
      <c r="B239" s="318"/>
      <c r="C239" s="240"/>
      <c r="D239" s="241"/>
      <c r="E239" s="270"/>
      <c r="F239" s="271"/>
      <c r="G239" s="239"/>
      <c r="H239" s="239"/>
      <c r="I239" s="239"/>
      <c r="J239" s="239"/>
      <c r="K239" s="239"/>
      <c r="L239" s="239"/>
      <c r="M239" s="239"/>
      <c r="N239" s="239"/>
      <c r="O239" s="239"/>
      <c r="P239" s="239"/>
      <c r="Q239" s="239"/>
      <c r="R239" s="239"/>
      <c r="S239" s="239"/>
      <c r="T239" s="239"/>
      <c r="U239"/>
      <c r="V239"/>
      <c r="W239"/>
      <c r="X239"/>
      <c r="Y239"/>
      <c r="Z239"/>
      <c r="AA239"/>
    </row>
    <row r="240" spans="1:27" hidden="1" x14ac:dyDescent="0.2">
      <c r="A240" s="240"/>
      <c r="B240" s="318"/>
      <c r="C240" s="240"/>
      <c r="D240" s="241"/>
      <c r="E240" s="270"/>
      <c r="F240" s="271"/>
      <c r="G240" s="239"/>
      <c r="H240" s="239"/>
      <c r="I240" s="239"/>
      <c r="J240" s="239"/>
      <c r="K240" s="239"/>
      <c r="L240" s="239"/>
      <c r="M240" s="239"/>
      <c r="N240" s="239"/>
      <c r="O240" s="239"/>
      <c r="P240" s="239"/>
      <c r="Q240" s="239"/>
      <c r="R240" s="239"/>
      <c r="S240" s="239"/>
      <c r="T240" s="239"/>
      <c r="U240"/>
      <c r="V240"/>
      <c r="W240"/>
      <c r="X240"/>
      <c r="Y240"/>
      <c r="Z240"/>
      <c r="AA240"/>
    </row>
    <row r="241" spans="1:27" hidden="1" x14ac:dyDescent="0.2">
      <c r="A241" s="240"/>
      <c r="B241" s="318"/>
      <c r="C241" s="240"/>
      <c r="D241" s="241"/>
      <c r="E241" s="270"/>
      <c r="F241" s="271"/>
      <c r="G241" s="239"/>
      <c r="H241" s="239"/>
      <c r="I241" s="239"/>
      <c r="J241" s="239"/>
      <c r="K241" s="239"/>
      <c r="L241" s="239"/>
      <c r="M241" s="239"/>
      <c r="N241" s="239"/>
      <c r="O241" s="239"/>
      <c r="P241" s="239"/>
      <c r="Q241" s="239"/>
      <c r="R241" s="239"/>
      <c r="S241" s="239"/>
      <c r="T241" s="239"/>
      <c r="U241"/>
      <c r="V241"/>
      <c r="W241"/>
      <c r="X241"/>
      <c r="Y241"/>
      <c r="Z241"/>
      <c r="AA241"/>
    </row>
    <row r="242" spans="1:27" hidden="1" x14ac:dyDescent="0.2">
      <c r="A242" s="240"/>
      <c r="B242" s="318"/>
      <c r="C242" s="240"/>
      <c r="D242" s="241"/>
      <c r="E242" s="270"/>
      <c r="F242" s="271"/>
      <c r="G242" s="239"/>
      <c r="H242" s="239"/>
      <c r="I242" s="239"/>
      <c r="J242" s="239"/>
      <c r="K242" s="239"/>
      <c r="L242" s="239"/>
      <c r="M242" s="239"/>
      <c r="N242" s="239"/>
      <c r="O242" s="239"/>
      <c r="P242" s="239"/>
      <c r="Q242" s="239"/>
      <c r="R242" s="239"/>
      <c r="S242" s="239"/>
      <c r="T242" s="239"/>
      <c r="U242"/>
      <c r="V242"/>
      <c r="W242"/>
      <c r="X242"/>
      <c r="Y242"/>
      <c r="Z242"/>
      <c r="AA242"/>
    </row>
    <row r="243" spans="1:27" hidden="1" x14ac:dyDescent="0.2">
      <c r="A243" s="240"/>
      <c r="B243" s="318"/>
      <c r="C243" s="240"/>
      <c r="D243" s="241"/>
      <c r="E243" s="270"/>
      <c r="F243" s="271"/>
      <c r="G243" s="239"/>
      <c r="H243" s="239"/>
      <c r="I243" s="239"/>
      <c r="J243" s="239"/>
      <c r="K243" s="239"/>
      <c r="L243" s="239"/>
      <c r="M243" s="239"/>
      <c r="N243" s="239"/>
      <c r="O243" s="239"/>
      <c r="P243" s="239"/>
      <c r="Q243" s="239"/>
      <c r="R243" s="239"/>
      <c r="S243" s="239"/>
      <c r="T243" s="239"/>
      <c r="U243"/>
      <c r="V243"/>
      <c r="W243"/>
      <c r="X243"/>
      <c r="Y243"/>
      <c r="Z243"/>
      <c r="AA243"/>
    </row>
    <row r="244" spans="1:27" hidden="1" x14ac:dyDescent="0.2">
      <c r="A244" s="240"/>
      <c r="B244" s="318"/>
      <c r="C244" s="240"/>
      <c r="D244" s="241"/>
      <c r="E244" s="270"/>
      <c r="F244" s="271"/>
      <c r="G244" s="239"/>
      <c r="H244" s="239"/>
      <c r="I244" s="239"/>
      <c r="J244" s="239"/>
      <c r="K244" s="239"/>
      <c r="L244" s="239"/>
      <c r="M244" s="239"/>
      <c r="N244" s="239"/>
      <c r="O244" s="239"/>
      <c r="P244" s="239"/>
      <c r="Q244" s="239"/>
      <c r="R244" s="239"/>
      <c r="S244" s="239"/>
      <c r="T244" s="239"/>
      <c r="U244"/>
      <c r="V244"/>
      <c r="W244"/>
      <c r="X244"/>
      <c r="Y244"/>
      <c r="Z244"/>
      <c r="AA244"/>
    </row>
    <row r="245" spans="1:27" hidden="1" x14ac:dyDescent="0.2">
      <c r="A245" s="240"/>
      <c r="B245" s="318"/>
      <c r="C245" s="240"/>
      <c r="D245" s="241"/>
      <c r="E245" s="270"/>
      <c r="F245" s="271"/>
      <c r="G245" s="239"/>
      <c r="H245" s="239"/>
      <c r="I245" s="239"/>
      <c r="J245" s="239"/>
      <c r="K245" s="239"/>
      <c r="L245" s="239"/>
      <c r="M245" s="239"/>
      <c r="N245" s="239"/>
      <c r="O245" s="239"/>
      <c r="P245" s="239"/>
      <c r="Q245" s="239"/>
      <c r="R245" s="239"/>
      <c r="S245" s="239"/>
      <c r="T245" s="239"/>
      <c r="U245"/>
      <c r="V245"/>
      <c r="W245"/>
      <c r="X245"/>
      <c r="Y245"/>
      <c r="Z245"/>
      <c r="AA245"/>
    </row>
    <row r="246" spans="1:27" hidden="1" x14ac:dyDescent="0.2">
      <c r="A246" s="240"/>
      <c r="B246" s="318"/>
      <c r="C246" s="240"/>
      <c r="D246" s="241"/>
      <c r="E246" s="270"/>
      <c r="F246" s="271"/>
      <c r="G246" s="239"/>
      <c r="H246" s="239"/>
      <c r="I246" s="239"/>
      <c r="J246" s="239"/>
      <c r="K246" s="239"/>
      <c r="L246" s="239"/>
      <c r="M246" s="239"/>
      <c r="N246" s="239"/>
      <c r="O246" s="239"/>
      <c r="P246" s="239"/>
      <c r="Q246" s="239"/>
      <c r="R246" s="239"/>
      <c r="S246" s="239"/>
      <c r="T246" s="239"/>
      <c r="U246"/>
      <c r="V246"/>
      <c r="W246"/>
      <c r="X246"/>
      <c r="Y246"/>
      <c r="Z246"/>
      <c r="AA246"/>
    </row>
    <row r="247" spans="1:27" hidden="1" x14ac:dyDescent="0.2">
      <c r="A247" s="240"/>
      <c r="B247" s="318"/>
      <c r="C247" s="240"/>
      <c r="D247" s="241"/>
      <c r="E247" s="270"/>
      <c r="F247" s="271"/>
      <c r="G247" s="239"/>
      <c r="H247" s="239"/>
      <c r="I247" s="239"/>
      <c r="J247" s="239"/>
      <c r="K247" s="239"/>
      <c r="L247" s="239"/>
      <c r="M247" s="239"/>
      <c r="N247" s="239"/>
      <c r="O247" s="239"/>
      <c r="P247" s="239"/>
      <c r="Q247" s="239"/>
      <c r="R247" s="239"/>
      <c r="S247" s="239"/>
      <c r="T247" s="239"/>
      <c r="U247"/>
      <c r="V247"/>
      <c r="W247"/>
      <c r="X247"/>
      <c r="Y247"/>
      <c r="Z247"/>
      <c r="AA247"/>
    </row>
    <row r="248" spans="1:27" hidden="1" x14ac:dyDescent="0.2">
      <c r="A248" s="240"/>
      <c r="B248" s="318"/>
      <c r="C248" s="240"/>
      <c r="D248" s="241"/>
      <c r="E248" s="270"/>
      <c r="F248" s="271"/>
      <c r="G248" s="239"/>
      <c r="H248" s="239"/>
      <c r="I248" s="239"/>
      <c r="J248" s="239"/>
      <c r="K248" s="239"/>
      <c r="L248" s="239"/>
      <c r="M248" s="239"/>
      <c r="N248" s="239"/>
      <c r="O248" s="239"/>
      <c r="P248" s="239"/>
      <c r="Q248" s="239"/>
      <c r="R248" s="239"/>
      <c r="S248" s="239"/>
      <c r="T248" s="239"/>
      <c r="U248"/>
      <c r="V248"/>
      <c r="W248"/>
      <c r="X248"/>
      <c r="Y248"/>
      <c r="Z248"/>
      <c r="AA248"/>
    </row>
    <row r="249" spans="1:27" hidden="1" x14ac:dyDescent="0.2">
      <c r="A249" s="240"/>
      <c r="B249" s="318"/>
      <c r="C249" s="240"/>
      <c r="D249" s="241"/>
      <c r="E249" s="270"/>
      <c r="F249" s="271"/>
      <c r="G249" s="239"/>
      <c r="H249" s="239"/>
      <c r="I249" s="239"/>
      <c r="J249" s="239"/>
      <c r="K249" s="239"/>
      <c r="L249" s="239"/>
      <c r="M249" s="239"/>
      <c r="N249" s="239"/>
      <c r="O249" s="239"/>
      <c r="P249" s="239"/>
      <c r="Q249" s="239"/>
      <c r="R249" s="239"/>
      <c r="S249" s="239"/>
      <c r="T249" s="239"/>
      <c r="U249"/>
      <c r="V249"/>
      <c r="W249"/>
      <c r="X249"/>
      <c r="Y249"/>
      <c r="Z249"/>
      <c r="AA249"/>
    </row>
    <row r="250" spans="1:27" hidden="1" x14ac:dyDescent="0.2">
      <c r="A250" s="240"/>
      <c r="B250" s="318"/>
      <c r="C250" s="240"/>
      <c r="D250" s="241"/>
      <c r="E250" s="270"/>
      <c r="F250" s="271"/>
      <c r="G250" s="239"/>
      <c r="H250" s="239"/>
      <c r="I250" s="239"/>
      <c r="J250" s="239"/>
      <c r="K250" s="239"/>
      <c r="L250" s="239"/>
      <c r="M250" s="239"/>
      <c r="N250" s="239"/>
      <c r="O250" s="239"/>
      <c r="P250" s="239"/>
      <c r="Q250" s="239"/>
      <c r="R250" s="239"/>
      <c r="S250" s="239"/>
      <c r="T250" s="239"/>
      <c r="U250"/>
      <c r="V250"/>
      <c r="W250"/>
      <c r="X250"/>
      <c r="Y250"/>
      <c r="Z250"/>
      <c r="AA250"/>
    </row>
    <row r="251" spans="1:27" hidden="1" x14ac:dyDescent="0.2">
      <c r="A251" s="240"/>
      <c r="B251" s="318"/>
      <c r="C251" s="240"/>
      <c r="D251" s="241"/>
      <c r="E251" s="270"/>
      <c r="F251" s="271"/>
      <c r="G251" s="239"/>
      <c r="H251" s="239"/>
      <c r="I251" s="239"/>
      <c r="J251" s="239"/>
      <c r="K251" s="239"/>
      <c r="L251" s="239"/>
      <c r="M251" s="239"/>
      <c r="N251" s="239"/>
      <c r="O251" s="239"/>
      <c r="P251" s="239"/>
      <c r="Q251" s="239"/>
      <c r="R251" s="239"/>
      <c r="S251" s="239"/>
      <c r="T251" s="239"/>
      <c r="U251"/>
      <c r="V251"/>
      <c r="W251"/>
      <c r="X251"/>
      <c r="Y251"/>
      <c r="Z251"/>
      <c r="AA251"/>
    </row>
    <row r="252" spans="1:27" hidden="1" x14ac:dyDescent="0.2">
      <c r="A252" s="240"/>
      <c r="B252" s="318"/>
      <c r="C252" s="240"/>
      <c r="D252" s="241"/>
      <c r="E252" s="270"/>
      <c r="F252" s="271"/>
      <c r="G252" s="239"/>
      <c r="H252" s="239"/>
      <c r="I252" s="239"/>
      <c r="J252" s="239"/>
      <c r="K252" s="239"/>
      <c r="L252" s="239"/>
      <c r="M252" s="239"/>
      <c r="N252" s="239"/>
      <c r="O252" s="239"/>
      <c r="P252" s="239"/>
      <c r="Q252" s="239"/>
      <c r="R252" s="239"/>
      <c r="S252" s="239"/>
      <c r="T252" s="239"/>
      <c r="U252"/>
      <c r="V252"/>
      <c r="W252"/>
      <c r="X252"/>
      <c r="Y252"/>
      <c r="Z252"/>
      <c r="AA252"/>
    </row>
    <row r="253" spans="1:27" hidden="1" x14ac:dyDescent="0.2">
      <c r="A253" s="240"/>
      <c r="B253" s="318"/>
      <c r="C253" s="240"/>
      <c r="D253" s="241"/>
      <c r="E253" s="270"/>
      <c r="F253" s="271"/>
      <c r="G253" s="239"/>
      <c r="H253" s="239"/>
      <c r="I253" s="239"/>
      <c r="J253" s="239"/>
      <c r="K253" s="239"/>
      <c r="L253" s="239"/>
      <c r="M253" s="239"/>
      <c r="N253" s="239"/>
      <c r="O253" s="239"/>
      <c r="P253" s="239"/>
      <c r="Q253" s="239"/>
      <c r="R253" s="239"/>
      <c r="S253" s="239"/>
      <c r="T253" s="239"/>
      <c r="U253"/>
      <c r="V253"/>
      <c r="W253"/>
      <c r="X253"/>
      <c r="Y253"/>
      <c r="Z253"/>
      <c r="AA253"/>
    </row>
    <row r="254" spans="1:27" hidden="1" x14ac:dyDescent="0.2">
      <c r="A254" s="240"/>
      <c r="B254" s="318"/>
      <c r="C254" s="240"/>
      <c r="D254" s="241"/>
      <c r="E254" s="270"/>
      <c r="F254" s="271"/>
      <c r="G254" s="239"/>
      <c r="H254" s="239"/>
      <c r="I254" s="239"/>
      <c r="J254" s="239"/>
      <c r="K254" s="239"/>
      <c r="L254" s="239"/>
      <c r="M254" s="239"/>
      <c r="N254" s="239"/>
      <c r="O254" s="239"/>
      <c r="P254" s="239"/>
      <c r="Q254" s="239"/>
      <c r="R254" s="239"/>
      <c r="S254" s="239"/>
      <c r="T254" s="239"/>
      <c r="U254"/>
      <c r="V254"/>
      <c r="W254"/>
      <c r="X254"/>
      <c r="Y254"/>
      <c r="Z254"/>
      <c r="AA254"/>
    </row>
    <row r="255" spans="1:27" hidden="1" x14ac:dyDescent="0.2">
      <c r="A255" s="240"/>
      <c r="B255" s="318"/>
      <c r="C255" s="240"/>
      <c r="D255" s="241"/>
      <c r="E255" s="270"/>
      <c r="F255" s="271"/>
      <c r="G255" s="239"/>
      <c r="H255" s="239"/>
      <c r="I255" s="239"/>
      <c r="J255" s="239"/>
      <c r="K255" s="239"/>
      <c r="L255" s="239"/>
      <c r="M255" s="239"/>
      <c r="N255" s="239"/>
      <c r="O255" s="239"/>
      <c r="P255" s="239"/>
      <c r="Q255" s="239"/>
      <c r="R255" s="239"/>
      <c r="S255" s="239"/>
      <c r="T255" s="239"/>
      <c r="U255"/>
      <c r="V255"/>
      <c r="W255"/>
      <c r="X255"/>
      <c r="Y255"/>
      <c r="Z255"/>
      <c r="AA255"/>
    </row>
    <row r="256" spans="1:27" hidden="1" x14ac:dyDescent="0.2">
      <c r="A256" s="240"/>
      <c r="B256" s="318"/>
      <c r="C256" s="240"/>
      <c r="D256" s="241"/>
      <c r="E256" s="270"/>
      <c r="F256" s="271"/>
      <c r="G256" s="239"/>
      <c r="H256" s="239"/>
      <c r="I256" s="239"/>
      <c r="J256" s="239"/>
      <c r="K256" s="239"/>
      <c r="L256" s="239"/>
      <c r="M256" s="239"/>
      <c r="N256" s="239"/>
      <c r="O256" s="239"/>
      <c r="P256" s="239"/>
      <c r="Q256" s="239"/>
      <c r="R256" s="239"/>
      <c r="S256" s="239"/>
      <c r="T256" s="239"/>
      <c r="U256"/>
      <c r="V256"/>
      <c r="W256"/>
      <c r="X256"/>
      <c r="Y256"/>
      <c r="Z256"/>
      <c r="AA256"/>
    </row>
    <row r="257" spans="1:27" hidden="1" x14ac:dyDescent="0.2">
      <c r="A257" s="240"/>
      <c r="B257" s="318"/>
      <c r="C257" s="240"/>
      <c r="D257" s="241"/>
      <c r="E257" s="270"/>
      <c r="F257" s="271"/>
      <c r="G257" s="239"/>
      <c r="H257" s="239"/>
      <c r="I257" s="239"/>
      <c r="J257" s="239"/>
      <c r="K257" s="239"/>
      <c r="L257" s="239"/>
      <c r="M257" s="239"/>
      <c r="N257" s="239"/>
      <c r="O257" s="239"/>
      <c r="P257" s="239"/>
      <c r="Q257" s="239"/>
      <c r="R257" s="239"/>
      <c r="S257" s="239"/>
      <c r="T257" s="239"/>
      <c r="U257"/>
      <c r="V257"/>
      <c r="W257"/>
      <c r="X257"/>
      <c r="Y257"/>
      <c r="Z257"/>
      <c r="AA257"/>
    </row>
    <row r="258" spans="1:27" hidden="1" x14ac:dyDescent="0.2">
      <c r="A258" s="240"/>
      <c r="B258" s="318"/>
      <c r="C258" s="240"/>
      <c r="D258" s="241"/>
      <c r="E258" s="270"/>
      <c r="F258" s="271"/>
      <c r="G258" s="239"/>
      <c r="H258" s="239"/>
      <c r="I258" s="239"/>
      <c r="J258" s="239"/>
      <c r="K258" s="239"/>
      <c r="L258" s="239"/>
      <c r="M258" s="239"/>
      <c r="N258" s="239"/>
      <c r="O258" s="239"/>
      <c r="P258" s="239"/>
      <c r="Q258" s="239"/>
      <c r="R258" s="239"/>
      <c r="S258" s="239"/>
      <c r="T258" s="239"/>
      <c r="U258"/>
      <c r="V258"/>
      <c r="W258"/>
      <c r="X258"/>
      <c r="Y258"/>
      <c r="Z258"/>
      <c r="AA258"/>
    </row>
    <row r="259" spans="1:27" hidden="1" x14ac:dyDescent="0.2">
      <c r="A259" s="240"/>
      <c r="B259" s="318"/>
      <c r="C259" s="240"/>
      <c r="D259" s="241"/>
      <c r="E259" s="270"/>
      <c r="F259" s="271"/>
      <c r="G259" s="239"/>
      <c r="H259" s="239"/>
      <c r="I259" s="239"/>
      <c r="J259" s="239"/>
      <c r="K259" s="239"/>
      <c r="L259" s="239"/>
      <c r="M259" s="239"/>
      <c r="N259" s="239"/>
      <c r="O259" s="239"/>
      <c r="P259" s="239"/>
      <c r="Q259" s="239"/>
      <c r="R259" s="239"/>
      <c r="S259" s="239"/>
      <c r="T259" s="239"/>
      <c r="U259"/>
      <c r="V259"/>
      <c r="W259"/>
      <c r="X259"/>
      <c r="Y259"/>
      <c r="Z259"/>
      <c r="AA259"/>
    </row>
    <row r="260" spans="1:27" hidden="1" x14ac:dyDescent="0.2">
      <c r="A260" s="240"/>
      <c r="B260" s="318"/>
      <c r="C260" s="240"/>
      <c r="D260" s="241"/>
      <c r="E260" s="270"/>
      <c r="F260" s="271"/>
      <c r="G260" s="239"/>
      <c r="H260" s="239"/>
      <c r="I260" s="239"/>
      <c r="J260" s="239"/>
      <c r="K260" s="239"/>
      <c r="L260" s="239"/>
      <c r="M260" s="239"/>
      <c r="N260" s="239"/>
      <c r="O260" s="239"/>
      <c r="P260" s="239"/>
      <c r="Q260" s="239"/>
      <c r="R260" s="239"/>
      <c r="S260" s="239"/>
      <c r="T260" s="239"/>
      <c r="U260"/>
      <c r="V260"/>
      <c r="W260"/>
      <c r="X260"/>
      <c r="Y260"/>
      <c r="Z260"/>
      <c r="AA260"/>
    </row>
    <row r="261" spans="1:27" hidden="1" x14ac:dyDescent="0.2">
      <c r="A261" s="240"/>
      <c r="B261" s="318"/>
      <c r="C261" s="240"/>
      <c r="D261" s="241"/>
      <c r="E261" s="270"/>
      <c r="F261" s="271"/>
      <c r="G261" s="239"/>
      <c r="H261" s="239"/>
      <c r="I261" s="239"/>
      <c r="J261" s="239"/>
      <c r="K261" s="239"/>
      <c r="L261" s="239"/>
      <c r="M261" s="239"/>
      <c r="N261" s="239"/>
      <c r="O261" s="239"/>
      <c r="P261" s="239"/>
      <c r="Q261" s="239"/>
      <c r="R261" s="239"/>
      <c r="S261" s="239"/>
      <c r="T261" s="239"/>
      <c r="U261"/>
      <c r="V261"/>
      <c r="W261"/>
      <c r="X261"/>
      <c r="Y261"/>
      <c r="Z261"/>
      <c r="AA261"/>
    </row>
    <row r="262" spans="1:27" hidden="1" x14ac:dyDescent="0.2">
      <c r="A262" s="240"/>
      <c r="B262" s="318"/>
      <c r="C262" s="240"/>
      <c r="D262" s="241"/>
      <c r="E262" s="270"/>
      <c r="F262" s="271"/>
      <c r="G262" s="239"/>
      <c r="H262" s="239"/>
      <c r="I262" s="239"/>
      <c r="J262" s="239"/>
      <c r="K262" s="239"/>
      <c r="L262" s="239"/>
      <c r="M262" s="239"/>
      <c r="N262" s="239"/>
      <c r="O262" s="239"/>
      <c r="P262" s="239"/>
      <c r="Q262" s="239"/>
      <c r="R262" s="239"/>
      <c r="S262" s="239"/>
      <c r="T262" s="239"/>
      <c r="U262"/>
      <c r="V262"/>
      <c r="W262"/>
      <c r="X262"/>
      <c r="Y262"/>
      <c r="Z262"/>
      <c r="AA262"/>
    </row>
    <row r="263" spans="1:27" hidden="1" x14ac:dyDescent="0.2">
      <c r="A263" s="240"/>
      <c r="B263" s="318"/>
      <c r="C263" s="240"/>
      <c r="D263" s="241"/>
      <c r="E263" s="270"/>
      <c r="F263" s="271"/>
      <c r="G263" s="239"/>
      <c r="H263" s="239"/>
      <c r="I263" s="239"/>
      <c r="J263" s="239"/>
      <c r="K263" s="239"/>
      <c r="L263" s="239"/>
      <c r="M263" s="239"/>
      <c r="N263" s="239"/>
      <c r="O263" s="239"/>
      <c r="P263" s="239"/>
      <c r="Q263" s="239"/>
      <c r="R263" s="239"/>
      <c r="S263" s="239"/>
      <c r="T263" s="239"/>
      <c r="U263"/>
      <c r="V263"/>
      <c r="W263"/>
      <c r="X263"/>
      <c r="Y263"/>
      <c r="Z263"/>
      <c r="AA263"/>
    </row>
    <row r="264" spans="1:27" hidden="1" x14ac:dyDescent="0.2">
      <c r="A264" s="240"/>
      <c r="B264" s="318"/>
      <c r="C264" s="240"/>
      <c r="D264" s="241"/>
      <c r="E264" s="270"/>
      <c r="F264" s="271"/>
      <c r="G264" s="239"/>
      <c r="H264" s="239"/>
      <c r="I264" s="239"/>
      <c r="J264" s="239"/>
      <c r="K264" s="239"/>
      <c r="L264" s="239"/>
      <c r="M264" s="239"/>
      <c r="N264" s="239"/>
      <c r="O264" s="239"/>
      <c r="P264" s="239"/>
      <c r="Q264" s="239"/>
      <c r="R264" s="239"/>
      <c r="S264" s="239"/>
      <c r="T264" s="239"/>
      <c r="U264"/>
      <c r="V264"/>
      <c r="W264"/>
      <c r="X264"/>
      <c r="Y264"/>
      <c r="Z264"/>
      <c r="AA264"/>
    </row>
    <row r="265" spans="1:27" hidden="1" x14ac:dyDescent="0.2">
      <c r="A265" s="240"/>
      <c r="B265" s="318"/>
      <c r="C265" s="240"/>
      <c r="D265" s="241"/>
      <c r="E265" s="270"/>
      <c r="F265" s="271"/>
      <c r="G265" s="239"/>
      <c r="H265" s="239"/>
      <c r="I265" s="239"/>
      <c r="J265" s="239"/>
      <c r="K265" s="239"/>
      <c r="L265" s="239"/>
      <c r="M265" s="239"/>
      <c r="N265" s="239"/>
      <c r="O265" s="239"/>
      <c r="P265" s="239"/>
      <c r="Q265" s="239"/>
      <c r="R265" s="239"/>
      <c r="S265" s="239"/>
      <c r="T265" s="239"/>
      <c r="U265"/>
      <c r="V265"/>
      <c r="W265"/>
      <c r="X265"/>
      <c r="Y265"/>
      <c r="Z265"/>
      <c r="AA265"/>
    </row>
    <row r="266" spans="1:27" hidden="1" x14ac:dyDescent="0.2">
      <c r="A266" s="240"/>
      <c r="B266" s="318"/>
      <c r="C266" s="240"/>
      <c r="D266" s="241"/>
      <c r="E266" s="270"/>
      <c r="F266" s="271"/>
      <c r="G266" s="239"/>
      <c r="H266" s="239"/>
      <c r="I266" s="239"/>
      <c r="J266" s="239"/>
      <c r="K266" s="239"/>
      <c r="L266" s="239"/>
      <c r="M266" s="239"/>
      <c r="N266" s="239"/>
      <c r="O266" s="239"/>
      <c r="P266" s="239"/>
      <c r="Q266" s="239"/>
      <c r="R266" s="239"/>
      <c r="S266" s="239"/>
      <c r="T266" s="239"/>
      <c r="U266"/>
      <c r="V266"/>
      <c r="W266"/>
      <c r="X266"/>
      <c r="Y266"/>
      <c r="Z266"/>
      <c r="AA266"/>
    </row>
    <row r="267" spans="1:27" hidden="1" x14ac:dyDescent="0.2">
      <c r="A267" s="240"/>
      <c r="B267" s="318"/>
      <c r="C267" s="240"/>
      <c r="D267" s="241"/>
      <c r="E267" s="270"/>
      <c r="F267" s="271"/>
      <c r="G267" s="239"/>
      <c r="H267" s="239"/>
      <c r="I267" s="239"/>
      <c r="J267" s="239"/>
      <c r="K267" s="239"/>
      <c r="L267" s="239"/>
      <c r="M267" s="239"/>
      <c r="N267" s="239"/>
      <c r="O267" s="239"/>
      <c r="P267" s="239"/>
      <c r="Q267" s="239"/>
      <c r="R267" s="239"/>
      <c r="S267" s="239"/>
      <c r="T267" s="239"/>
      <c r="U267"/>
      <c r="V267"/>
      <c r="W267"/>
      <c r="X267"/>
      <c r="Y267"/>
      <c r="Z267"/>
      <c r="AA267"/>
    </row>
    <row r="268" spans="1:27" hidden="1" x14ac:dyDescent="0.2">
      <c r="A268" s="240"/>
      <c r="B268" s="318"/>
      <c r="C268" s="240"/>
      <c r="D268" s="241"/>
      <c r="E268" s="270"/>
      <c r="F268" s="271"/>
      <c r="G268" s="239"/>
      <c r="H268" s="239"/>
      <c r="I268" s="239"/>
      <c r="J268" s="239"/>
      <c r="K268" s="239"/>
      <c r="L268" s="239"/>
      <c r="M268" s="239"/>
      <c r="N268" s="239"/>
      <c r="O268" s="239"/>
      <c r="P268" s="239"/>
      <c r="Q268" s="239"/>
      <c r="R268" s="239"/>
      <c r="S268" s="239"/>
      <c r="T268" s="239"/>
      <c r="U268"/>
      <c r="V268"/>
      <c r="W268"/>
      <c r="X268"/>
      <c r="Y268"/>
      <c r="Z268"/>
      <c r="AA268"/>
    </row>
    <row r="269" spans="1:27" hidden="1" x14ac:dyDescent="0.2">
      <c r="A269" s="240"/>
      <c r="B269" s="318"/>
      <c r="C269" s="240"/>
      <c r="D269" s="241"/>
      <c r="E269" s="270"/>
      <c r="F269" s="271"/>
      <c r="G269" s="239"/>
      <c r="H269" s="239"/>
      <c r="I269" s="239"/>
      <c r="J269" s="239"/>
      <c r="K269" s="239"/>
      <c r="L269" s="239"/>
      <c r="M269" s="239"/>
      <c r="N269" s="239"/>
      <c r="O269" s="239"/>
      <c r="P269" s="239"/>
      <c r="Q269" s="239"/>
      <c r="R269" s="239"/>
      <c r="S269" s="239"/>
      <c r="T269" s="239"/>
      <c r="U269"/>
      <c r="V269"/>
      <c r="W269"/>
      <c r="X269"/>
      <c r="Y269"/>
      <c r="Z269"/>
      <c r="AA269"/>
    </row>
    <row r="270" spans="1:27" hidden="1" x14ac:dyDescent="0.2">
      <c r="A270" s="240"/>
      <c r="B270" s="318"/>
      <c r="C270" s="240"/>
      <c r="D270" s="241"/>
      <c r="E270" s="270"/>
      <c r="F270" s="271"/>
      <c r="G270" s="239"/>
      <c r="H270" s="239"/>
      <c r="I270" s="239"/>
      <c r="J270" s="239"/>
      <c r="K270" s="239"/>
      <c r="L270" s="239"/>
      <c r="M270" s="239"/>
      <c r="N270" s="239"/>
      <c r="O270" s="239"/>
      <c r="P270" s="239"/>
      <c r="Q270" s="239"/>
      <c r="R270" s="239"/>
      <c r="S270" s="239"/>
      <c r="T270" s="239"/>
      <c r="U270"/>
      <c r="V270"/>
      <c r="W270"/>
      <c r="X270"/>
      <c r="Y270"/>
      <c r="Z270"/>
      <c r="AA270"/>
    </row>
    <row r="271" spans="1:27" hidden="1" x14ac:dyDescent="0.2">
      <c r="A271" s="240"/>
      <c r="B271" s="318"/>
      <c r="C271" s="240"/>
      <c r="D271" s="241"/>
      <c r="E271" s="270"/>
      <c r="F271" s="271"/>
      <c r="G271" s="239"/>
      <c r="H271" s="239"/>
      <c r="I271" s="239"/>
      <c r="J271" s="239"/>
      <c r="K271" s="239"/>
      <c r="L271" s="239"/>
      <c r="M271" s="239"/>
      <c r="N271" s="239"/>
      <c r="O271" s="239"/>
      <c r="P271" s="239"/>
      <c r="Q271" s="239"/>
      <c r="R271" s="239"/>
      <c r="S271" s="239"/>
      <c r="T271" s="239"/>
      <c r="U271"/>
      <c r="V271"/>
      <c r="W271"/>
      <c r="X271"/>
      <c r="Y271"/>
      <c r="Z271"/>
      <c r="AA271"/>
    </row>
    <row r="272" spans="1:27" hidden="1" x14ac:dyDescent="0.2">
      <c r="A272" s="240"/>
      <c r="B272" s="318"/>
      <c r="C272" s="240"/>
      <c r="D272" s="241"/>
      <c r="E272" s="270"/>
      <c r="F272" s="271"/>
      <c r="G272" s="239"/>
      <c r="H272" s="239"/>
      <c r="I272" s="239"/>
      <c r="J272" s="239"/>
      <c r="K272" s="239"/>
      <c r="L272" s="239"/>
      <c r="M272" s="239"/>
      <c r="N272" s="239"/>
      <c r="O272" s="239"/>
      <c r="P272" s="239"/>
      <c r="Q272" s="239"/>
      <c r="R272" s="239"/>
      <c r="S272" s="239"/>
      <c r="T272" s="239"/>
      <c r="U272"/>
      <c r="V272"/>
      <c r="W272"/>
      <c r="X272"/>
      <c r="Y272"/>
      <c r="Z272"/>
      <c r="AA272"/>
    </row>
    <row r="273" spans="1:27" hidden="1" x14ac:dyDescent="0.2">
      <c r="A273" s="240"/>
      <c r="B273" s="318"/>
      <c r="C273" s="240"/>
      <c r="D273" s="241"/>
      <c r="E273" s="270"/>
      <c r="F273" s="271"/>
      <c r="G273" s="239"/>
      <c r="H273" s="239"/>
      <c r="I273" s="239"/>
      <c r="J273" s="239"/>
      <c r="K273" s="239"/>
      <c r="L273" s="239"/>
      <c r="M273" s="239"/>
      <c r="N273" s="239"/>
      <c r="O273" s="239"/>
      <c r="P273" s="239"/>
      <c r="Q273" s="239"/>
      <c r="R273" s="239"/>
      <c r="S273" s="239"/>
      <c r="T273" s="239"/>
      <c r="U273"/>
      <c r="V273"/>
      <c r="W273"/>
      <c r="X273"/>
      <c r="Y273"/>
      <c r="Z273"/>
      <c r="AA273"/>
    </row>
    <row r="274" spans="1:27" hidden="1" x14ac:dyDescent="0.2">
      <c r="A274" s="240"/>
      <c r="B274" s="318"/>
      <c r="C274" s="240"/>
      <c r="D274" s="241"/>
      <c r="E274" s="270"/>
      <c r="F274" s="271"/>
      <c r="G274" s="239"/>
      <c r="H274" s="239"/>
      <c r="I274" s="239"/>
      <c r="J274" s="239"/>
      <c r="K274" s="239"/>
      <c r="L274" s="239"/>
      <c r="M274" s="239"/>
      <c r="N274" s="239"/>
      <c r="O274" s="239"/>
      <c r="P274" s="239"/>
      <c r="Q274" s="239"/>
      <c r="R274" s="239"/>
      <c r="S274" s="239"/>
      <c r="T274" s="239"/>
      <c r="U274"/>
      <c r="V274"/>
      <c r="W274"/>
      <c r="X274"/>
      <c r="Y274"/>
      <c r="Z274"/>
      <c r="AA274"/>
    </row>
    <row r="275" spans="1:27" hidden="1" x14ac:dyDescent="0.2">
      <c r="A275" s="240"/>
      <c r="B275" s="318"/>
      <c r="C275" s="240"/>
      <c r="D275" s="241"/>
      <c r="E275" s="270"/>
      <c r="F275" s="271"/>
      <c r="G275" s="239"/>
      <c r="H275" s="239"/>
      <c r="I275" s="239"/>
      <c r="J275" s="239"/>
      <c r="K275" s="239"/>
      <c r="L275" s="239"/>
      <c r="M275" s="239"/>
      <c r="N275" s="239"/>
      <c r="O275" s="239"/>
      <c r="P275" s="239"/>
      <c r="Q275" s="239"/>
      <c r="R275" s="239"/>
      <c r="S275" s="239"/>
      <c r="T275" s="239"/>
      <c r="U275"/>
      <c r="V275"/>
      <c r="W275"/>
      <c r="X275"/>
      <c r="Y275"/>
      <c r="Z275"/>
      <c r="AA275"/>
    </row>
    <row r="276" spans="1:27" hidden="1" x14ac:dyDescent="0.2">
      <c r="A276" s="240"/>
      <c r="B276" s="318"/>
      <c r="C276" s="240"/>
      <c r="D276" s="241"/>
      <c r="E276" s="270"/>
      <c r="F276" s="271"/>
      <c r="G276" s="239"/>
      <c r="H276" s="239"/>
      <c r="I276" s="239"/>
      <c r="J276" s="239"/>
      <c r="K276" s="239"/>
      <c r="L276" s="239"/>
      <c r="M276" s="239"/>
      <c r="N276" s="239"/>
      <c r="O276" s="239"/>
      <c r="P276" s="239"/>
      <c r="Q276" s="239"/>
      <c r="R276" s="239"/>
      <c r="S276" s="239"/>
      <c r="T276" s="239"/>
      <c r="U276"/>
      <c r="V276"/>
      <c r="W276"/>
      <c r="X276"/>
      <c r="Y276"/>
      <c r="Z276"/>
      <c r="AA276"/>
    </row>
    <row r="277" spans="1:27" hidden="1" x14ac:dyDescent="0.2">
      <c r="A277" s="240"/>
      <c r="B277" s="318"/>
      <c r="C277" s="240"/>
      <c r="D277" s="241"/>
      <c r="E277" s="270"/>
      <c r="F277" s="271"/>
      <c r="G277" s="239"/>
      <c r="H277" s="239"/>
      <c r="I277" s="239"/>
      <c r="J277" s="239"/>
      <c r="K277" s="239"/>
      <c r="L277" s="239"/>
      <c r="M277" s="239"/>
      <c r="N277" s="239"/>
      <c r="O277" s="239"/>
      <c r="P277" s="239"/>
      <c r="Q277" s="239"/>
      <c r="R277" s="239"/>
      <c r="S277" s="239"/>
      <c r="T277" s="239"/>
      <c r="U277"/>
      <c r="V277"/>
      <c r="W277"/>
      <c r="X277"/>
      <c r="Y277"/>
      <c r="Z277"/>
      <c r="AA277"/>
    </row>
    <row r="278" spans="1:27" hidden="1" x14ac:dyDescent="0.2">
      <c r="A278" s="240"/>
      <c r="B278" s="318"/>
      <c r="C278" s="240"/>
      <c r="D278" s="241"/>
      <c r="E278" s="270"/>
      <c r="F278" s="271"/>
      <c r="G278" s="239"/>
      <c r="H278" s="239"/>
      <c r="I278" s="239"/>
      <c r="J278" s="239"/>
      <c r="K278" s="239"/>
      <c r="L278" s="239"/>
      <c r="M278" s="239"/>
      <c r="N278" s="239"/>
      <c r="O278" s="239"/>
      <c r="P278" s="239"/>
      <c r="Q278" s="239"/>
      <c r="R278" s="239"/>
      <c r="S278" s="239"/>
      <c r="T278" s="239"/>
      <c r="U278"/>
      <c r="V278"/>
      <c r="W278"/>
      <c r="X278"/>
      <c r="Y278"/>
      <c r="Z278"/>
      <c r="AA278"/>
    </row>
    <row r="279" spans="1:27" hidden="1" x14ac:dyDescent="0.2">
      <c r="A279" s="240"/>
      <c r="B279" s="318"/>
      <c r="C279" s="240"/>
      <c r="D279" s="241"/>
      <c r="E279" s="270"/>
      <c r="F279" s="271"/>
      <c r="G279" s="239"/>
      <c r="H279" s="239"/>
      <c r="I279" s="239"/>
      <c r="J279" s="239"/>
      <c r="K279" s="239"/>
      <c r="L279" s="239"/>
      <c r="M279" s="239"/>
      <c r="N279" s="239"/>
      <c r="O279" s="239"/>
      <c r="P279" s="239"/>
      <c r="Q279" s="239"/>
      <c r="R279" s="239"/>
      <c r="S279" s="239"/>
      <c r="T279" s="239"/>
      <c r="U279"/>
      <c r="V279"/>
      <c r="W279"/>
      <c r="X279"/>
      <c r="Y279"/>
      <c r="Z279"/>
      <c r="AA279"/>
    </row>
    <row r="280" spans="1:27" hidden="1" x14ac:dyDescent="0.2">
      <c r="A280" s="240"/>
      <c r="B280" s="318"/>
      <c r="C280" s="240"/>
      <c r="D280" s="241"/>
      <c r="E280" s="270"/>
      <c r="F280" s="271"/>
      <c r="G280" s="239"/>
      <c r="H280" s="239"/>
      <c r="I280" s="239"/>
      <c r="J280" s="239"/>
      <c r="K280" s="239"/>
      <c r="L280" s="239"/>
      <c r="M280" s="239"/>
      <c r="N280" s="239"/>
      <c r="O280" s="239"/>
      <c r="P280" s="239"/>
      <c r="Q280" s="239"/>
      <c r="R280" s="239"/>
      <c r="S280" s="239"/>
      <c r="T280" s="239"/>
      <c r="U280"/>
      <c r="V280"/>
      <c r="W280"/>
      <c r="X280"/>
      <c r="Y280"/>
      <c r="Z280"/>
      <c r="AA280"/>
    </row>
    <row r="281" spans="1:27" hidden="1" x14ac:dyDescent="0.2">
      <c r="A281" s="240"/>
      <c r="B281" s="318"/>
      <c r="C281" s="240"/>
      <c r="D281" s="241"/>
      <c r="E281" s="270"/>
      <c r="F281" s="271"/>
      <c r="G281" s="239"/>
      <c r="H281" s="239"/>
      <c r="I281" s="239"/>
      <c r="J281" s="239"/>
      <c r="K281" s="239"/>
      <c r="L281" s="239"/>
      <c r="M281" s="239"/>
      <c r="N281" s="239"/>
      <c r="O281" s="239"/>
      <c r="P281" s="239"/>
      <c r="Q281" s="239"/>
      <c r="R281" s="239"/>
      <c r="S281" s="239"/>
      <c r="T281" s="239"/>
      <c r="U281"/>
      <c r="V281"/>
      <c r="W281"/>
      <c r="X281"/>
      <c r="Y281"/>
      <c r="Z281"/>
      <c r="AA281"/>
    </row>
    <row r="282" spans="1:27" hidden="1" x14ac:dyDescent="0.2">
      <c r="A282" s="240"/>
      <c r="B282" s="318"/>
      <c r="C282" s="240"/>
      <c r="D282" s="241"/>
      <c r="E282" s="270"/>
      <c r="F282" s="271"/>
      <c r="G282" s="239"/>
      <c r="H282" s="239"/>
      <c r="I282" s="239"/>
      <c r="J282" s="239"/>
      <c r="K282" s="239"/>
      <c r="L282" s="239"/>
      <c r="M282" s="239"/>
      <c r="N282" s="239"/>
      <c r="O282" s="239"/>
      <c r="P282" s="239"/>
      <c r="Q282" s="239"/>
      <c r="R282" s="239"/>
      <c r="S282" s="239"/>
      <c r="T282" s="239"/>
      <c r="U282"/>
      <c r="V282"/>
      <c r="W282"/>
      <c r="X282"/>
      <c r="Y282"/>
      <c r="Z282"/>
      <c r="AA282"/>
    </row>
    <row r="283" spans="1:27" hidden="1" x14ac:dyDescent="0.2">
      <c r="A283" s="240"/>
      <c r="B283" s="318"/>
      <c r="C283" s="240"/>
      <c r="D283" s="241"/>
      <c r="E283" s="270"/>
      <c r="F283" s="271"/>
      <c r="G283" s="239"/>
      <c r="H283" s="239"/>
      <c r="I283" s="239"/>
      <c r="J283" s="239"/>
      <c r="K283" s="239"/>
      <c r="L283" s="239"/>
      <c r="M283" s="239"/>
      <c r="N283" s="239"/>
      <c r="O283" s="239"/>
      <c r="P283" s="239"/>
      <c r="Q283" s="239"/>
      <c r="R283" s="239"/>
      <c r="S283" s="239"/>
      <c r="T283" s="239"/>
      <c r="U283"/>
      <c r="V283"/>
      <c r="W283"/>
      <c r="X283"/>
      <c r="Y283"/>
      <c r="Z283"/>
      <c r="AA283"/>
    </row>
    <row r="284" spans="1:27" hidden="1" x14ac:dyDescent="0.2">
      <c r="A284" s="240"/>
      <c r="B284" s="318"/>
      <c r="C284" s="240"/>
      <c r="D284" s="241"/>
      <c r="E284" s="270"/>
      <c r="F284" s="271"/>
      <c r="G284" s="239"/>
      <c r="H284" s="239"/>
      <c r="I284" s="239"/>
      <c r="J284" s="239"/>
      <c r="K284" s="239"/>
      <c r="L284" s="239"/>
      <c r="M284" s="239"/>
      <c r="N284" s="239"/>
      <c r="O284" s="239"/>
      <c r="P284" s="239"/>
      <c r="Q284" s="239"/>
      <c r="R284" s="239"/>
      <c r="S284" s="239"/>
      <c r="T284" s="239"/>
      <c r="U284"/>
      <c r="V284"/>
      <c r="W284"/>
      <c r="X284"/>
      <c r="Y284"/>
      <c r="Z284"/>
      <c r="AA284"/>
    </row>
    <row r="285" spans="1:27" hidden="1" x14ac:dyDescent="0.2">
      <c r="A285" s="240"/>
      <c r="B285" s="318"/>
      <c r="C285" s="240"/>
      <c r="D285" s="241"/>
      <c r="E285" s="270"/>
      <c r="F285" s="271"/>
      <c r="G285" s="239"/>
      <c r="H285" s="239"/>
      <c r="I285" s="239"/>
      <c r="J285" s="239"/>
      <c r="K285" s="239"/>
      <c r="L285" s="239"/>
      <c r="M285" s="239"/>
      <c r="N285" s="239"/>
      <c r="O285" s="239"/>
      <c r="P285" s="239"/>
      <c r="Q285" s="239"/>
      <c r="R285" s="239"/>
      <c r="S285" s="239"/>
      <c r="T285" s="239"/>
      <c r="U285"/>
      <c r="V285"/>
      <c r="W285"/>
      <c r="X285"/>
      <c r="Y285"/>
      <c r="Z285"/>
      <c r="AA285"/>
    </row>
    <row r="286" spans="1:27" hidden="1" x14ac:dyDescent="0.2">
      <c r="A286" s="240"/>
      <c r="B286" s="318"/>
      <c r="C286" s="240"/>
      <c r="D286" s="241"/>
      <c r="E286" s="270"/>
      <c r="F286" s="271"/>
      <c r="G286" s="239"/>
      <c r="H286" s="239"/>
      <c r="I286" s="239"/>
      <c r="J286" s="239"/>
      <c r="K286" s="239"/>
      <c r="L286" s="239"/>
      <c r="M286" s="239"/>
      <c r="N286" s="239"/>
      <c r="O286" s="239"/>
      <c r="P286" s="239"/>
      <c r="Q286" s="239"/>
      <c r="R286" s="239"/>
      <c r="S286" s="239"/>
      <c r="T286" s="239"/>
      <c r="U286"/>
      <c r="V286"/>
      <c r="W286"/>
      <c r="X286"/>
      <c r="Y286"/>
      <c r="Z286"/>
      <c r="AA286"/>
    </row>
    <row r="287" spans="1:27" hidden="1" x14ac:dyDescent="0.2">
      <c r="A287" s="240"/>
      <c r="B287" s="318"/>
      <c r="C287" s="240"/>
      <c r="D287" s="241"/>
      <c r="E287" s="270"/>
      <c r="F287" s="271"/>
      <c r="G287" s="239"/>
      <c r="H287" s="239"/>
      <c r="I287" s="239"/>
      <c r="J287" s="239"/>
      <c r="K287" s="239"/>
      <c r="L287" s="239"/>
      <c r="M287" s="239"/>
      <c r="N287" s="239"/>
      <c r="O287" s="239"/>
      <c r="P287" s="239"/>
      <c r="Q287" s="239"/>
      <c r="R287" s="239"/>
      <c r="S287" s="239"/>
      <c r="T287" s="239"/>
      <c r="U287"/>
      <c r="V287"/>
      <c r="W287"/>
      <c r="X287"/>
      <c r="Y287"/>
      <c r="Z287"/>
      <c r="AA287"/>
    </row>
    <row r="288" spans="1:27" hidden="1" x14ac:dyDescent="0.2">
      <c r="A288" s="240"/>
      <c r="B288" s="318"/>
      <c r="C288" s="240"/>
      <c r="D288" s="241"/>
      <c r="E288" s="270"/>
      <c r="F288" s="271"/>
      <c r="G288" s="239"/>
      <c r="H288" s="239"/>
      <c r="I288" s="239"/>
      <c r="J288" s="239"/>
      <c r="K288" s="239"/>
      <c r="L288" s="239"/>
      <c r="M288" s="239"/>
      <c r="N288" s="239"/>
      <c r="O288" s="239"/>
      <c r="P288" s="239"/>
      <c r="Q288" s="239"/>
      <c r="R288" s="239"/>
      <c r="S288" s="239"/>
      <c r="T288" s="239"/>
      <c r="U288"/>
      <c r="V288"/>
      <c r="W288"/>
      <c r="X288"/>
      <c r="Y288"/>
      <c r="Z288"/>
      <c r="AA288"/>
    </row>
    <row r="289" spans="1:27" hidden="1" x14ac:dyDescent="0.2">
      <c r="A289" s="240"/>
      <c r="B289" s="318"/>
      <c r="C289" s="240"/>
      <c r="D289" s="241"/>
      <c r="E289" s="270"/>
      <c r="F289" s="271"/>
      <c r="G289" s="239"/>
      <c r="H289" s="239"/>
      <c r="I289" s="239"/>
      <c r="J289" s="239"/>
      <c r="K289" s="239"/>
      <c r="L289" s="239"/>
      <c r="M289" s="239"/>
      <c r="N289" s="239"/>
      <c r="O289" s="239"/>
      <c r="P289" s="239"/>
      <c r="Q289" s="239"/>
      <c r="R289" s="239"/>
      <c r="S289" s="239"/>
      <c r="T289" s="239"/>
      <c r="U289"/>
      <c r="V289"/>
      <c r="W289"/>
      <c r="X289"/>
      <c r="Y289"/>
      <c r="Z289"/>
      <c r="AA289"/>
    </row>
    <row r="290" spans="1:27" hidden="1" x14ac:dyDescent="0.2">
      <c r="A290" s="240"/>
      <c r="B290" s="318"/>
      <c r="C290" s="240"/>
      <c r="D290" s="241"/>
      <c r="E290" s="270"/>
      <c r="F290" s="271"/>
      <c r="G290" s="239"/>
      <c r="H290" s="239"/>
      <c r="I290" s="239"/>
      <c r="J290" s="239"/>
      <c r="K290" s="239"/>
      <c r="L290" s="239"/>
      <c r="M290" s="239"/>
      <c r="N290" s="239"/>
      <c r="O290" s="239"/>
      <c r="P290" s="239"/>
      <c r="Q290" s="239"/>
      <c r="R290" s="239"/>
      <c r="S290" s="239"/>
      <c r="T290" s="239"/>
      <c r="U290"/>
      <c r="V290"/>
      <c r="W290"/>
      <c r="X290"/>
      <c r="Y290"/>
      <c r="Z290"/>
      <c r="AA290"/>
    </row>
    <row r="291" spans="1:27" hidden="1" x14ac:dyDescent="0.2">
      <c r="A291" s="240"/>
      <c r="B291" s="318"/>
      <c r="C291" s="240"/>
      <c r="D291" s="241"/>
      <c r="E291" s="270"/>
      <c r="F291" s="271"/>
      <c r="G291" s="239"/>
      <c r="H291" s="239"/>
      <c r="I291" s="239"/>
      <c r="J291" s="239"/>
      <c r="K291" s="239"/>
      <c r="L291" s="239"/>
      <c r="M291" s="239"/>
      <c r="N291" s="239"/>
      <c r="O291" s="239"/>
      <c r="P291" s="239"/>
      <c r="Q291" s="239"/>
      <c r="R291" s="239"/>
      <c r="S291" s="239"/>
      <c r="T291" s="239"/>
      <c r="U291"/>
      <c r="V291"/>
      <c r="W291"/>
      <c r="X291"/>
      <c r="Y291"/>
      <c r="Z291"/>
      <c r="AA291"/>
    </row>
    <row r="292" spans="1:27" hidden="1" x14ac:dyDescent="0.2">
      <c r="A292" s="240"/>
      <c r="B292" s="318"/>
      <c r="C292" s="240"/>
      <c r="D292" s="241"/>
      <c r="E292" s="270"/>
      <c r="F292" s="271"/>
      <c r="G292" s="239"/>
      <c r="H292" s="239"/>
      <c r="I292" s="239"/>
      <c r="J292" s="239"/>
      <c r="K292" s="239"/>
      <c r="L292" s="239"/>
      <c r="M292" s="239"/>
      <c r="N292" s="239"/>
      <c r="O292" s="239"/>
      <c r="P292" s="239"/>
      <c r="Q292" s="239"/>
      <c r="R292" s="239"/>
      <c r="S292" s="239"/>
      <c r="T292" s="239"/>
      <c r="U292"/>
      <c r="V292"/>
      <c r="W292"/>
      <c r="X292"/>
      <c r="Y292"/>
      <c r="Z292"/>
      <c r="AA292"/>
    </row>
    <row r="293" spans="1:27" hidden="1" x14ac:dyDescent="0.2">
      <c r="A293" s="240"/>
      <c r="B293" s="318"/>
      <c r="C293" s="240"/>
      <c r="D293" s="241"/>
      <c r="E293" s="270"/>
      <c r="F293" s="271"/>
      <c r="G293" s="239"/>
      <c r="H293" s="239"/>
      <c r="I293" s="239"/>
      <c r="J293" s="239"/>
      <c r="K293" s="239"/>
      <c r="L293" s="239"/>
      <c r="M293" s="239"/>
      <c r="N293" s="239"/>
      <c r="O293" s="239"/>
      <c r="P293" s="239"/>
      <c r="Q293" s="239"/>
      <c r="R293" s="239"/>
      <c r="S293" s="239"/>
      <c r="T293" s="239"/>
      <c r="U293"/>
      <c r="V293"/>
      <c r="W293"/>
      <c r="X293"/>
      <c r="Y293"/>
      <c r="Z293"/>
      <c r="AA293"/>
    </row>
    <row r="294" spans="1:27" hidden="1" x14ac:dyDescent="0.2">
      <c r="A294" s="240"/>
      <c r="B294" s="318"/>
      <c r="C294" s="240"/>
      <c r="D294" s="241"/>
      <c r="E294" s="270"/>
      <c r="F294" s="271"/>
      <c r="G294" s="239"/>
      <c r="H294" s="239"/>
      <c r="I294" s="239"/>
      <c r="J294" s="239"/>
      <c r="K294" s="239"/>
      <c r="L294" s="239"/>
      <c r="M294" s="239"/>
      <c r="N294" s="239"/>
      <c r="O294" s="239"/>
      <c r="P294" s="239"/>
      <c r="Q294" s="239"/>
      <c r="R294" s="239"/>
      <c r="S294" s="239"/>
      <c r="T294" s="239"/>
      <c r="U294"/>
      <c r="V294"/>
      <c r="W294"/>
      <c r="X294"/>
      <c r="Y294"/>
      <c r="Z294"/>
      <c r="AA294"/>
    </row>
    <row r="295" spans="1:27" hidden="1" x14ac:dyDescent="0.2">
      <c r="A295" s="240"/>
      <c r="B295" s="318"/>
      <c r="C295" s="240"/>
      <c r="D295" s="241"/>
      <c r="E295" s="270"/>
      <c r="F295" s="271"/>
      <c r="G295" s="239"/>
      <c r="H295" s="239"/>
      <c r="I295" s="239"/>
      <c r="J295" s="239"/>
      <c r="K295" s="239"/>
      <c r="L295" s="239"/>
      <c r="M295" s="239"/>
      <c r="N295" s="239"/>
      <c r="O295" s="239"/>
      <c r="P295" s="239"/>
      <c r="Q295" s="239"/>
      <c r="R295" s="239"/>
      <c r="S295" s="239"/>
      <c r="T295" s="239"/>
      <c r="U295"/>
      <c r="V295"/>
      <c r="W295"/>
      <c r="X295"/>
      <c r="Y295"/>
      <c r="Z295"/>
      <c r="AA295"/>
    </row>
    <row r="296" spans="1:27" hidden="1" x14ac:dyDescent="0.2">
      <c r="A296" s="240"/>
      <c r="B296" s="318"/>
      <c r="C296" s="240"/>
      <c r="D296" s="241"/>
      <c r="E296" s="270"/>
      <c r="F296" s="271"/>
      <c r="G296" s="239"/>
      <c r="H296" s="239"/>
      <c r="I296" s="239"/>
      <c r="J296" s="239"/>
      <c r="K296" s="239"/>
      <c r="L296" s="239"/>
      <c r="M296" s="239"/>
      <c r="N296" s="239"/>
      <c r="O296" s="239"/>
      <c r="P296" s="239"/>
      <c r="Q296" s="239"/>
      <c r="R296" s="239"/>
      <c r="S296" s="239"/>
      <c r="T296" s="239"/>
      <c r="U296"/>
      <c r="V296"/>
      <c r="W296"/>
      <c r="X296"/>
      <c r="Y296"/>
      <c r="Z296"/>
      <c r="AA296"/>
    </row>
    <row r="297" spans="1:27" hidden="1" x14ac:dyDescent="0.2">
      <c r="A297" s="240"/>
      <c r="B297" s="318"/>
      <c r="C297" s="240"/>
      <c r="D297" s="241"/>
      <c r="E297" s="270"/>
      <c r="F297" s="271"/>
      <c r="G297" s="239"/>
      <c r="H297" s="239"/>
      <c r="I297" s="239"/>
      <c r="J297" s="239"/>
      <c r="K297" s="239"/>
      <c r="L297" s="239"/>
      <c r="M297" s="239"/>
      <c r="N297" s="239"/>
      <c r="O297" s="239"/>
      <c r="P297" s="239"/>
      <c r="Q297" s="239"/>
      <c r="R297" s="239"/>
      <c r="S297" s="239"/>
      <c r="T297" s="239"/>
      <c r="U297"/>
      <c r="V297"/>
      <c r="W297"/>
      <c r="X297"/>
      <c r="Y297"/>
      <c r="Z297"/>
      <c r="AA297"/>
    </row>
    <row r="298" spans="1:27" hidden="1" x14ac:dyDescent="0.2">
      <c r="A298" s="240"/>
      <c r="B298" s="318"/>
      <c r="C298" s="240"/>
      <c r="D298" s="241"/>
      <c r="E298" s="270"/>
      <c r="F298" s="271"/>
      <c r="G298" s="239"/>
      <c r="H298" s="239"/>
      <c r="I298" s="239"/>
      <c r="J298" s="239"/>
      <c r="K298" s="239"/>
      <c r="L298" s="239"/>
      <c r="M298" s="239"/>
      <c r="N298" s="239"/>
      <c r="O298" s="239"/>
      <c r="P298" s="239"/>
      <c r="Q298" s="239"/>
      <c r="R298" s="239"/>
      <c r="S298" s="239"/>
      <c r="T298" s="239"/>
      <c r="U298"/>
      <c r="V298"/>
      <c r="W298"/>
      <c r="X298"/>
      <c r="Y298"/>
      <c r="Z298"/>
      <c r="AA298"/>
    </row>
    <row r="299" spans="1:27" hidden="1" x14ac:dyDescent="0.2">
      <c r="A299" s="240"/>
      <c r="B299" s="318"/>
      <c r="C299" s="240"/>
      <c r="D299" s="241"/>
      <c r="E299" s="270"/>
      <c r="F299" s="271"/>
      <c r="G299" s="239"/>
      <c r="H299" s="239"/>
      <c r="I299" s="239"/>
      <c r="J299" s="239"/>
      <c r="K299" s="239"/>
      <c r="L299" s="239"/>
      <c r="M299" s="239"/>
      <c r="N299" s="239"/>
      <c r="O299" s="239"/>
      <c r="P299" s="239"/>
      <c r="Q299" s="239"/>
      <c r="R299" s="239"/>
      <c r="S299" s="239"/>
      <c r="T299" s="239"/>
      <c r="U299"/>
      <c r="V299"/>
      <c r="W299"/>
      <c r="X299"/>
      <c r="Y299"/>
      <c r="Z299"/>
      <c r="AA299"/>
    </row>
    <row r="300" spans="1:27" hidden="1" x14ac:dyDescent="0.2">
      <c r="A300" s="240"/>
      <c r="B300" s="318"/>
      <c r="C300" s="240"/>
      <c r="D300" s="241"/>
      <c r="E300" s="270"/>
      <c r="F300" s="271"/>
      <c r="G300" s="239"/>
      <c r="H300" s="239"/>
      <c r="I300" s="239"/>
      <c r="J300" s="239"/>
      <c r="K300" s="239"/>
      <c r="L300" s="239"/>
      <c r="M300" s="239"/>
      <c r="N300" s="239"/>
      <c r="O300" s="239"/>
      <c r="P300" s="239"/>
      <c r="Q300" s="239"/>
      <c r="R300" s="239"/>
      <c r="S300" s="239"/>
      <c r="T300" s="239"/>
      <c r="U300"/>
      <c r="V300"/>
      <c r="W300"/>
      <c r="X300"/>
      <c r="Y300"/>
      <c r="Z300"/>
      <c r="AA300"/>
    </row>
    <row r="301" spans="1:27" hidden="1" x14ac:dyDescent="0.2">
      <c r="A301" s="240"/>
      <c r="B301" s="318"/>
      <c r="C301" s="240"/>
      <c r="D301" s="241"/>
      <c r="E301" s="270"/>
      <c r="F301" s="271"/>
      <c r="G301" s="239"/>
      <c r="H301" s="239"/>
      <c r="I301" s="239"/>
      <c r="J301" s="239"/>
      <c r="K301" s="239"/>
      <c r="L301" s="239"/>
      <c r="M301" s="239"/>
      <c r="N301" s="239"/>
      <c r="O301" s="239"/>
      <c r="P301" s="239"/>
      <c r="Q301" s="239"/>
      <c r="R301" s="239"/>
      <c r="S301" s="239"/>
      <c r="T301" s="239"/>
      <c r="U301"/>
      <c r="V301"/>
      <c r="W301"/>
      <c r="X301"/>
      <c r="Y301"/>
      <c r="Z301"/>
      <c r="AA301"/>
    </row>
    <row r="302" spans="1:27" hidden="1" x14ac:dyDescent="0.2">
      <c r="A302" s="240"/>
      <c r="B302" s="318"/>
      <c r="C302" s="240"/>
      <c r="D302" s="241"/>
      <c r="E302" s="270"/>
      <c r="F302" s="271"/>
      <c r="G302" s="239"/>
      <c r="H302" s="239"/>
      <c r="I302" s="239"/>
      <c r="J302" s="239"/>
      <c r="K302" s="239"/>
      <c r="L302" s="239"/>
      <c r="M302" s="239"/>
      <c r="N302" s="239"/>
      <c r="O302" s="239"/>
      <c r="P302" s="239"/>
      <c r="Q302" s="239"/>
      <c r="R302" s="239"/>
      <c r="S302" s="239"/>
      <c r="T302" s="239"/>
      <c r="U302"/>
      <c r="V302"/>
      <c r="W302"/>
      <c r="X302"/>
      <c r="Y302"/>
      <c r="Z302"/>
      <c r="AA302"/>
    </row>
    <row r="303" spans="1:27" hidden="1" x14ac:dyDescent="0.2">
      <c r="A303" s="240"/>
      <c r="B303" s="318"/>
      <c r="C303" s="240"/>
      <c r="D303" s="241"/>
      <c r="E303" s="270"/>
      <c r="F303" s="271"/>
      <c r="G303" s="239"/>
      <c r="H303" s="239"/>
      <c r="I303" s="239"/>
      <c r="J303" s="239"/>
      <c r="K303" s="239"/>
      <c r="L303" s="239"/>
      <c r="M303" s="239"/>
      <c r="N303" s="239"/>
      <c r="O303" s="239"/>
      <c r="P303" s="239"/>
      <c r="Q303" s="239"/>
      <c r="R303" s="239"/>
      <c r="S303" s="239"/>
      <c r="T303" s="239"/>
      <c r="U303"/>
      <c r="V303"/>
      <c r="W303"/>
      <c r="X303"/>
      <c r="Y303"/>
      <c r="Z303"/>
      <c r="AA303"/>
    </row>
    <row r="304" spans="1:27" hidden="1" x14ac:dyDescent="0.2">
      <c r="A304" s="240"/>
      <c r="B304" s="318"/>
      <c r="C304" s="240"/>
      <c r="D304" s="241"/>
      <c r="E304" s="270"/>
      <c r="F304" s="271"/>
      <c r="G304" s="239"/>
      <c r="H304" s="239"/>
      <c r="I304" s="239"/>
      <c r="J304" s="239"/>
      <c r="K304" s="239"/>
      <c r="L304" s="239"/>
      <c r="M304" s="239"/>
      <c r="N304" s="239"/>
      <c r="O304" s="239"/>
      <c r="P304" s="239"/>
      <c r="Q304" s="239"/>
      <c r="R304" s="239"/>
      <c r="S304" s="239"/>
      <c r="T304" s="239"/>
      <c r="U304"/>
      <c r="V304"/>
      <c r="W304"/>
      <c r="X304"/>
      <c r="Y304"/>
      <c r="Z304"/>
      <c r="AA304"/>
    </row>
    <row r="305" spans="1:27" hidden="1" x14ac:dyDescent="0.2">
      <c r="A305" s="240"/>
      <c r="B305" s="318"/>
      <c r="C305" s="240"/>
      <c r="D305" s="241"/>
      <c r="E305" s="270"/>
      <c r="F305" s="271"/>
      <c r="G305" s="239"/>
      <c r="H305" s="239"/>
      <c r="I305" s="239"/>
      <c r="J305" s="239"/>
      <c r="K305" s="239"/>
      <c r="L305" s="239"/>
      <c r="M305" s="239"/>
      <c r="N305" s="239"/>
      <c r="O305" s="239"/>
      <c r="P305" s="239"/>
      <c r="Q305" s="239"/>
      <c r="R305" s="239"/>
      <c r="S305" s="239"/>
      <c r="T305" s="239"/>
      <c r="U305"/>
      <c r="V305"/>
      <c r="W305"/>
      <c r="X305"/>
      <c r="Y305"/>
      <c r="Z305"/>
      <c r="AA305"/>
    </row>
    <row r="306" spans="1:27" hidden="1" x14ac:dyDescent="0.2">
      <c r="A306" s="240"/>
      <c r="B306" s="318"/>
      <c r="C306" s="240"/>
      <c r="D306" s="241"/>
      <c r="E306" s="270"/>
      <c r="F306" s="271"/>
      <c r="G306" s="239"/>
      <c r="H306" s="239"/>
      <c r="I306" s="239"/>
      <c r="J306" s="239"/>
      <c r="K306" s="239"/>
      <c r="L306" s="239"/>
      <c r="M306" s="239"/>
      <c r="N306" s="239"/>
      <c r="O306" s="239"/>
      <c r="P306" s="239"/>
      <c r="Q306" s="239"/>
      <c r="R306" s="239"/>
      <c r="S306" s="239"/>
      <c r="T306" s="239"/>
      <c r="U306"/>
      <c r="V306"/>
      <c r="W306"/>
      <c r="X306"/>
      <c r="Y306"/>
      <c r="Z306"/>
      <c r="AA306"/>
    </row>
    <row r="307" spans="1:27" hidden="1" x14ac:dyDescent="0.2">
      <c r="A307" s="240"/>
      <c r="B307" s="318"/>
      <c r="C307" s="240"/>
      <c r="D307" s="241"/>
      <c r="E307" s="270"/>
      <c r="F307" s="271"/>
      <c r="G307" s="239"/>
      <c r="H307" s="239"/>
      <c r="I307" s="239"/>
      <c r="J307" s="239"/>
      <c r="K307" s="239"/>
      <c r="L307" s="239"/>
      <c r="M307" s="239"/>
      <c r="N307" s="239"/>
      <c r="O307" s="239"/>
      <c r="P307" s="239"/>
      <c r="Q307" s="239"/>
      <c r="R307" s="239"/>
      <c r="S307" s="239"/>
      <c r="T307" s="239"/>
      <c r="U307"/>
      <c r="V307"/>
      <c r="W307"/>
      <c r="X307"/>
      <c r="Y307"/>
      <c r="Z307"/>
      <c r="AA307"/>
    </row>
    <row r="308" spans="1:27" hidden="1" x14ac:dyDescent="0.2">
      <c r="A308" s="240"/>
      <c r="B308" s="318"/>
      <c r="C308" s="240"/>
      <c r="D308" s="241"/>
      <c r="E308" s="270"/>
      <c r="F308" s="271"/>
      <c r="G308" s="239"/>
      <c r="H308" s="239"/>
      <c r="I308" s="239"/>
      <c r="J308" s="239"/>
      <c r="K308" s="239"/>
      <c r="L308" s="239"/>
      <c r="M308" s="239"/>
      <c r="N308" s="239"/>
      <c r="O308" s="239"/>
      <c r="P308" s="239"/>
      <c r="Q308" s="239"/>
      <c r="R308" s="239"/>
      <c r="S308" s="239"/>
      <c r="T308" s="239"/>
      <c r="U308"/>
      <c r="V308"/>
      <c r="W308"/>
      <c r="X308"/>
      <c r="Y308"/>
      <c r="Z308"/>
      <c r="AA308"/>
    </row>
    <row r="309" spans="1:27" hidden="1" x14ac:dyDescent="0.2">
      <c r="A309" s="240"/>
      <c r="B309" s="318"/>
      <c r="C309" s="240"/>
      <c r="D309" s="241"/>
      <c r="E309" s="270"/>
      <c r="F309" s="271"/>
      <c r="G309" s="239"/>
      <c r="H309" s="239"/>
      <c r="I309" s="239"/>
      <c r="J309" s="239"/>
      <c r="K309" s="239"/>
      <c r="L309" s="239"/>
      <c r="M309" s="239"/>
      <c r="N309" s="239"/>
      <c r="O309" s="239"/>
      <c r="P309" s="239"/>
      <c r="Q309" s="239"/>
      <c r="R309" s="239"/>
      <c r="S309" s="239"/>
      <c r="T309" s="239"/>
      <c r="U309"/>
      <c r="V309"/>
      <c r="W309"/>
      <c r="X309"/>
      <c r="Y309"/>
      <c r="Z309"/>
      <c r="AA309"/>
    </row>
    <row r="310" spans="1:27" hidden="1" x14ac:dyDescent="0.2">
      <c r="A310" s="240"/>
      <c r="B310" s="318"/>
      <c r="C310" s="240"/>
      <c r="D310" s="241"/>
      <c r="E310" s="270"/>
      <c r="F310" s="271"/>
      <c r="G310" s="239"/>
      <c r="H310" s="239"/>
      <c r="I310" s="239"/>
      <c r="J310" s="239"/>
      <c r="K310" s="239"/>
      <c r="L310" s="239"/>
      <c r="M310" s="239"/>
      <c r="N310" s="239"/>
      <c r="O310" s="239"/>
      <c r="P310" s="239"/>
      <c r="Q310" s="239"/>
      <c r="R310" s="239"/>
      <c r="S310" s="239"/>
      <c r="T310" s="239"/>
      <c r="U310"/>
      <c r="V310"/>
      <c r="W310"/>
      <c r="X310"/>
      <c r="Y310"/>
      <c r="Z310"/>
      <c r="AA310"/>
    </row>
    <row r="311" spans="1:27" hidden="1" x14ac:dyDescent="0.2">
      <c r="A311" s="240"/>
      <c r="B311" s="318"/>
      <c r="C311" s="240"/>
      <c r="D311" s="241"/>
      <c r="E311" s="270"/>
      <c r="F311" s="271"/>
      <c r="G311" s="239"/>
      <c r="H311" s="239"/>
      <c r="I311" s="239"/>
      <c r="J311" s="239"/>
      <c r="K311" s="239"/>
      <c r="L311" s="239"/>
      <c r="M311" s="239"/>
      <c r="N311" s="239"/>
      <c r="O311" s="239"/>
      <c r="P311" s="239"/>
      <c r="Q311" s="239"/>
      <c r="R311" s="239"/>
      <c r="S311" s="239"/>
      <c r="T311" s="239"/>
      <c r="U311"/>
      <c r="V311"/>
      <c r="W311"/>
      <c r="X311"/>
      <c r="Y311"/>
      <c r="Z311"/>
      <c r="AA311"/>
    </row>
    <row r="312" spans="1:27" hidden="1" x14ac:dyDescent="0.2">
      <c r="A312" s="240"/>
      <c r="B312" s="318"/>
      <c r="C312" s="240"/>
      <c r="D312" s="241"/>
      <c r="E312" s="270"/>
      <c r="F312" s="271"/>
      <c r="G312" s="239"/>
      <c r="H312" s="239"/>
      <c r="I312" s="239"/>
      <c r="J312" s="239"/>
      <c r="K312" s="239"/>
      <c r="L312" s="239"/>
      <c r="M312" s="239"/>
      <c r="N312" s="239"/>
      <c r="O312" s="239"/>
      <c r="P312" s="239"/>
      <c r="Q312" s="239"/>
      <c r="R312" s="239"/>
      <c r="S312" s="239"/>
      <c r="T312" s="239"/>
      <c r="U312"/>
      <c r="V312"/>
      <c r="W312"/>
      <c r="X312"/>
      <c r="Y312"/>
      <c r="Z312"/>
      <c r="AA312"/>
    </row>
    <row r="313" spans="1:27" hidden="1" x14ac:dyDescent="0.2">
      <c r="A313" s="240"/>
      <c r="B313" s="318"/>
      <c r="C313" s="240"/>
      <c r="D313" s="241"/>
      <c r="E313" s="270"/>
      <c r="F313" s="271"/>
      <c r="G313" s="239"/>
      <c r="H313" s="239"/>
      <c r="I313" s="239"/>
      <c r="J313" s="239"/>
      <c r="K313" s="239"/>
      <c r="L313" s="239"/>
      <c r="M313" s="239"/>
      <c r="N313" s="239"/>
      <c r="O313" s="239"/>
      <c r="P313" s="239"/>
      <c r="Q313" s="239"/>
      <c r="R313" s="239"/>
      <c r="S313" s="239"/>
      <c r="T313" s="239"/>
      <c r="U313"/>
      <c r="V313"/>
      <c r="W313"/>
      <c r="X313"/>
      <c r="Y313"/>
      <c r="Z313"/>
      <c r="AA313"/>
    </row>
    <row r="314" spans="1:27" hidden="1" x14ac:dyDescent="0.2">
      <c r="A314" s="240"/>
      <c r="B314" s="318"/>
      <c r="C314" s="240"/>
      <c r="D314" s="241"/>
      <c r="E314" s="270"/>
      <c r="F314" s="271"/>
      <c r="G314" s="239"/>
      <c r="H314" s="239"/>
      <c r="I314" s="239"/>
      <c r="J314" s="239"/>
      <c r="K314" s="239"/>
      <c r="L314" s="239"/>
      <c r="M314" s="239"/>
      <c r="N314" s="239"/>
      <c r="O314" s="239"/>
      <c r="P314" s="239"/>
      <c r="Q314" s="239"/>
      <c r="R314" s="239"/>
      <c r="S314" s="239"/>
      <c r="T314" s="239"/>
      <c r="U314"/>
      <c r="V314"/>
      <c r="W314"/>
      <c r="X314"/>
      <c r="Y314"/>
      <c r="Z314"/>
      <c r="AA314"/>
    </row>
    <row r="315" spans="1:27" hidden="1" x14ac:dyDescent="0.2">
      <c r="A315" s="240"/>
      <c r="B315" s="318"/>
      <c r="C315" s="240"/>
      <c r="D315" s="241"/>
      <c r="E315" s="270"/>
      <c r="F315" s="271"/>
      <c r="G315" s="239"/>
      <c r="H315" s="239"/>
      <c r="I315" s="239"/>
      <c r="J315" s="239"/>
      <c r="K315" s="239"/>
      <c r="L315" s="239"/>
      <c r="M315" s="239"/>
      <c r="N315" s="239"/>
      <c r="O315" s="239"/>
      <c r="P315" s="239"/>
      <c r="Q315" s="239"/>
      <c r="R315" s="239"/>
      <c r="S315" s="239"/>
      <c r="T315" s="239"/>
      <c r="U315"/>
      <c r="V315"/>
      <c r="W315"/>
      <c r="X315"/>
      <c r="Y315"/>
      <c r="Z315"/>
      <c r="AA315"/>
    </row>
    <row r="316" spans="1:27" hidden="1" x14ac:dyDescent="0.2">
      <c r="A316" s="240"/>
      <c r="B316" s="318"/>
      <c r="C316" s="240"/>
      <c r="D316" s="241"/>
      <c r="E316" s="270"/>
      <c r="F316" s="271"/>
      <c r="G316" s="239"/>
      <c r="H316" s="239"/>
      <c r="I316" s="239"/>
      <c r="J316" s="239"/>
      <c r="K316" s="239"/>
      <c r="L316" s="239"/>
      <c r="M316" s="239"/>
      <c r="N316" s="239"/>
      <c r="O316" s="239"/>
      <c r="P316" s="239"/>
      <c r="Q316" s="239"/>
      <c r="R316" s="239"/>
      <c r="S316" s="239"/>
      <c r="T316" s="239"/>
      <c r="U316"/>
      <c r="V316"/>
      <c r="W316"/>
      <c r="X316"/>
      <c r="Y316"/>
      <c r="Z316"/>
      <c r="AA316"/>
    </row>
    <row r="317" spans="1:27" hidden="1" x14ac:dyDescent="0.2">
      <c r="A317" s="240"/>
      <c r="B317" s="318"/>
      <c r="C317" s="240"/>
      <c r="D317" s="241"/>
      <c r="E317" s="270"/>
      <c r="F317" s="271"/>
      <c r="G317" s="239"/>
      <c r="H317" s="239"/>
      <c r="I317" s="239"/>
      <c r="J317" s="239"/>
      <c r="K317" s="239"/>
      <c r="L317" s="239"/>
      <c r="M317" s="239"/>
      <c r="N317" s="239"/>
      <c r="O317" s="239"/>
      <c r="P317" s="239"/>
      <c r="Q317" s="239"/>
      <c r="R317" s="239"/>
      <c r="S317" s="239"/>
      <c r="T317" s="239"/>
      <c r="U317"/>
      <c r="V317"/>
      <c r="W317"/>
      <c r="X317"/>
      <c r="Y317"/>
      <c r="Z317"/>
      <c r="AA317"/>
    </row>
    <row r="318" spans="1:27" hidden="1" x14ac:dyDescent="0.2">
      <c r="A318" s="240"/>
      <c r="B318" s="318"/>
      <c r="C318" s="240"/>
      <c r="D318" s="241"/>
      <c r="E318" s="270"/>
      <c r="F318" s="271"/>
      <c r="G318" s="239"/>
      <c r="H318" s="239"/>
      <c r="I318" s="239"/>
      <c r="J318" s="239"/>
      <c r="K318" s="239"/>
      <c r="L318" s="239"/>
      <c r="M318" s="239"/>
      <c r="N318" s="239"/>
      <c r="O318" s="239"/>
      <c r="P318" s="239"/>
      <c r="Q318" s="239"/>
      <c r="R318" s="239"/>
      <c r="S318" s="239"/>
      <c r="T318" s="239"/>
      <c r="U318"/>
      <c r="V318"/>
      <c r="W318"/>
      <c r="X318"/>
      <c r="Y318"/>
      <c r="Z318"/>
      <c r="AA318"/>
    </row>
    <row r="319" spans="1:27" hidden="1" x14ac:dyDescent="0.2">
      <c r="A319" s="240"/>
      <c r="B319" s="318"/>
      <c r="C319" s="240"/>
      <c r="D319" s="241"/>
      <c r="E319" s="270"/>
      <c r="F319" s="271"/>
      <c r="G319" s="239"/>
      <c r="H319" s="239"/>
      <c r="I319" s="239"/>
      <c r="J319" s="239"/>
      <c r="K319" s="239"/>
      <c r="L319" s="239"/>
      <c r="M319" s="239"/>
      <c r="N319" s="239"/>
      <c r="O319" s="239"/>
      <c r="P319" s="239"/>
      <c r="Q319" s="239"/>
      <c r="R319" s="239"/>
      <c r="S319" s="239"/>
      <c r="T319" s="239"/>
      <c r="U319"/>
      <c r="V319"/>
      <c r="W319"/>
      <c r="X319"/>
      <c r="Y319"/>
      <c r="Z319"/>
      <c r="AA319"/>
    </row>
    <row r="320" spans="1:27" hidden="1" x14ac:dyDescent="0.2">
      <c r="A320" s="240"/>
      <c r="B320" s="318"/>
      <c r="C320" s="240"/>
      <c r="D320" s="241"/>
      <c r="E320" s="270"/>
      <c r="F320" s="271"/>
      <c r="G320" s="239"/>
      <c r="H320" s="239"/>
      <c r="I320" s="239"/>
      <c r="J320" s="239"/>
      <c r="K320" s="239"/>
      <c r="L320" s="239"/>
      <c r="M320" s="239"/>
      <c r="N320" s="239"/>
      <c r="O320" s="239"/>
      <c r="P320" s="239"/>
      <c r="Q320" s="239"/>
      <c r="R320" s="239"/>
      <c r="S320" s="239"/>
      <c r="T320" s="239"/>
      <c r="U320"/>
      <c r="V320"/>
      <c r="W320"/>
      <c r="X320"/>
      <c r="Y320"/>
      <c r="Z320"/>
      <c r="AA320"/>
    </row>
    <row r="321" spans="1:27" hidden="1" x14ac:dyDescent="0.2">
      <c r="A321" s="240"/>
      <c r="B321" s="318"/>
      <c r="C321" s="240"/>
      <c r="D321" s="241"/>
      <c r="E321" s="270"/>
      <c r="F321" s="271"/>
      <c r="G321" s="239"/>
      <c r="H321" s="239"/>
      <c r="I321" s="239"/>
      <c r="J321" s="239"/>
      <c r="K321" s="239"/>
      <c r="L321" s="239"/>
      <c r="M321" s="239"/>
      <c r="N321" s="239"/>
      <c r="O321" s="239"/>
      <c r="P321" s="239"/>
      <c r="Q321" s="239"/>
      <c r="R321" s="239"/>
      <c r="S321" s="239"/>
      <c r="T321" s="239"/>
      <c r="U321"/>
      <c r="V321"/>
      <c r="W321"/>
      <c r="X321"/>
      <c r="Y321"/>
      <c r="Z321"/>
      <c r="AA321"/>
    </row>
    <row r="322" spans="1:27" hidden="1" x14ac:dyDescent="0.2">
      <c r="A322" s="240"/>
      <c r="B322" s="318"/>
      <c r="C322" s="240"/>
      <c r="D322" s="241"/>
      <c r="E322" s="270"/>
      <c r="F322" s="271"/>
      <c r="G322" s="239"/>
      <c r="H322" s="239"/>
      <c r="I322" s="239"/>
      <c r="J322" s="239"/>
      <c r="K322" s="239"/>
      <c r="L322" s="239"/>
      <c r="M322" s="239"/>
      <c r="N322" s="239"/>
      <c r="O322" s="239"/>
      <c r="P322" s="239"/>
      <c r="Q322" s="239"/>
      <c r="R322" s="239"/>
      <c r="S322" s="239"/>
      <c r="T322" s="239"/>
      <c r="U322"/>
      <c r="V322"/>
      <c r="W322"/>
      <c r="X322"/>
      <c r="Y322"/>
      <c r="Z322"/>
      <c r="AA322"/>
    </row>
    <row r="323" spans="1:27" hidden="1" x14ac:dyDescent="0.2">
      <c r="A323" s="240"/>
      <c r="B323" s="318"/>
      <c r="C323" s="240"/>
      <c r="D323" s="241"/>
      <c r="E323" s="270"/>
      <c r="F323" s="271"/>
      <c r="G323" s="239"/>
      <c r="H323" s="239"/>
      <c r="I323" s="239"/>
      <c r="J323" s="239"/>
      <c r="K323" s="239"/>
      <c r="L323" s="239"/>
      <c r="M323" s="239"/>
      <c r="N323" s="239"/>
      <c r="O323" s="239"/>
      <c r="P323" s="239"/>
      <c r="Q323" s="239"/>
      <c r="R323" s="239"/>
      <c r="S323" s="239"/>
      <c r="T323" s="239"/>
      <c r="U323"/>
      <c r="V323"/>
      <c r="W323"/>
      <c r="X323"/>
      <c r="Y323"/>
      <c r="Z323"/>
      <c r="AA323"/>
    </row>
    <row r="324" spans="1:27" hidden="1" x14ac:dyDescent="0.2">
      <c r="A324" s="240"/>
      <c r="B324" s="318"/>
      <c r="C324" s="240"/>
      <c r="D324" s="241"/>
      <c r="E324" s="270"/>
      <c r="F324" s="271"/>
      <c r="G324" s="239"/>
      <c r="H324" s="239"/>
      <c r="I324" s="239"/>
      <c r="J324" s="239"/>
      <c r="K324" s="239"/>
      <c r="L324" s="239"/>
      <c r="M324" s="239"/>
      <c r="N324" s="239"/>
      <c r="O324" s="239"/>
      <c r="P324" s="239"/>
      <c r="Q324" s="239"/>
      <c r="R324" s="239"/>
      <c r="S324" s="239"/>
      <c r="T324" s="239"/>
      <c r="U324"/>
      <c r="V324"/>
      <c r="W324"/>
      <c r="X324"/>
      <c r="Y324"/>
      <c r="Z324"/>
      <c r="AA324"/>
    </row>
    <row r="325" spans="1:27" hidden="1" x14ac:dyDescent="0.2">
      <c r="A325" s="240"/>
      <c r="B325" s="318"/>
      <c r="C325" s="240"/>
      <c r="D325" s="241"/>
      <c r="E325" s="270"/>
      <c r="F325" s="271"/>
      <c r="G325" s="239"/>
      <c r="H325" s="239"/>
      <c r="I325" s="239"/>
      <c r="J325" s="239"/>
      <c r="K325" s="239"/>
      <c r="L325" s="239"/>
      <c r="M325" s="239"/>
      <c r="N325" s="239"/>
      <c r="O325" s="239"/>
      <c r="P325" s="239"/>
      <c r="Q325" s="239"/>
      <c r="R325" s="239"/>
      <c r="S325" s="239"/>
      <c r="T325" s="239"/>
      <c r="U325"/>
      <c r="V325"/>
      <c r="W325"/>
      <c r="X325"/>
      <c r="Y325"/>
      <c r="Z325"/>
      <c r="AA325"/>
    </row>
    <row r="326" spans="1:27" hidden="1" x14ac:dyDescent="0.2">
      <c r="A326" s="240"/>
      <c r="B326" s="318"/>
      <c r="C326" s="240"/>
      <c r="D326" s="241"/>
      <c r="E326" s="270"/>
      <c r="F326" s="271"/>
      <c r="G326" s="239"/>
      <c r="H326" s="239"/>
      <c r="I326" s="239"/>
      <c r="J326" s="239"/>
      <c r="K326" s="239"/>
      <c r="L326" s="239"/>
      <c r="M326" s="239"/>
      <c r="N326" s="239"/>
      <c r="O326" s="239"/>
      <c r="P326" s="239"/>
      <c r="Q326" s="239"/>
      <c r="R326" s="239"/>
      <c r="S326" s="239"/>
      <c r="T326" s="239"/>
      <c r="U326"/>
      <c r="V326"/>
      <c r="W326"/>
      <c r="X326"/>
      <c r="Y326"/>
      <c r="Z326"/>
      <c r="AA326"/>
    </row>
    <row r="327" spans="1:27" hidden="1" x14ac:dyDescent="0.2">
      <c r="A327" s="240"/>
      <c r="B327" s="318"/>
      <c r="C327" s="240"/>
      <c r="D327" s="241"/>
      <c r="E327" s="270"/>
      <c r="F327" s="271"/>
      <c r="G327" s="239"/>
      <c r="H327" s="239"/>
      <c r="I327" s="239"/>
      <c r="J327" s="239"/>
      <c r="K327" s="239"/>
      <c r="L327" s="239"/>
      <c r="M327" s="239"/>
      <c r="N327" s="239"/>
      <c r="O327" s="239"/>
      <c r="P327" s="239"/>
      <c r="Q327" s="239"/>
      <c r="R327" s="239"/>
      <c r="S327" s="239"/>
      <c r="T327" s="239"/>
      <c r="U327"/>
      <c r="V327"/>
      <c r="W327"/>
      <c r="X327"/>
      <c r="Y327"/>
      <c r="Z327"/>
      <c r="AA327"/>
    </row>
    <row r="328" spans="1:27" hidden="1" x14ac:dyDescent="0.2">
      <c r="A328" s="240"/>
      <c r="B328" s="318"/>
      <c r="C328" s="240"/>
      <c r="D328" s="241"/>
      <c r="E328" s="270"/>
      <c r="F328" s="271"/>
      <c r="G328" s="239"/>
      <c r="H328" s="239"/>
      <c r="I328" s="239"/>
      <c r="J328" s="239"/>
      <c r="K328" s="239"/>
      <c r="L328" s="239"/>
      <c r="M328" s="239"/>
      <c r="N328" s="239"/>
      <c r="O328" s="239"/>
      <c r="P328" s="239"/>
      <c r="Q328" s="239"/>
      <c r="R328" s="239"/>
      <c r="S328" s="239"/>
      <c r="T328" s="239"/>
      <c r="U328"/>
      <c r="V328"/>
      <c r="W328"/>
      <c r="X328"/>
      <c r="Y328"/>
      <c r="Z328"/>
      <c r="AA328"/>
    </row>
    <row r="329" spans="1:27" hidden="1" x14ac:dyDescent="0.2">
      <c r="A329" s="240"/>
      <c r="B329" s="318"/>
      <c r="C329" s="240"/>
      <c r="D329" s="241"/>
      <c r="E329" s="270"/>
      <c r="F329" s="271"/>
      <c r="G329" s="239"/>
      <c r="H329" s="239"/>
      <c r="I329" s="239"/>
      <c r="J329" s="239"/>
      <c r="K329" s="239"/>
      <c r="L329" s="239"/>
      <c r="M329" s="239"/>
      <c r="N329" s="239"/>
      <c r="O329" s="239"/>
      <c r="P329" s="239"/>
      <c r="Q329" s="239"/>
      <c r="R329" s="239"/>
      <c r="S329" s="239"/>
      <c r="T329" s="239"/>
      <c r="U329"/>
      <c r="V329"/>
      <c r="W329"/>
      <c r="X329"/>
      <c r="Y329"/>
      <c r="Z329"/>
      <c r="AA329"/>
    </row>
    <row r="330" spans="1:27" hidden="1" x14ac:dyDescent="0.2">
      <c r="A330" s="240"/>
      <c r="B330" s="318"/>
      <c r="C330" s="240"/>
      <c r="D330" s="241"/>
      <c r="E330" s="270"/>
      <c r="F330" s="271"/>
      <c r="G330" s="239"/>
      <c r="H330" s="239"/>
      <c r="I330" s="239"/>
      <c r="J330" s="239"/>
      <c r="K330" s="239"/>
      <c r="L330" s="239"/>
      <c r="M330" s="239"/>
      <c r="N330" s="239"/>
      <c r="O330" s="239"/>
      <c r="P330" s="239"/>
      <c r="Q330" s="239"/>
      <c r="R330" s="239"/>
      <c r="S330" s="239"/>
      <c r="T330" s="239"/>
      <c r="U330"/>
      <c r="V330"/>
      <c r="W330"/>
      <c r="X330"/>
      <c r="Y330"/>
      <c r="Z330"/>
      <c r="AA330"/>
    </row>
    <row r="331" spans="1:27" hidden="1" x14ac:dyDescent="0.2">
      <c r="A331" s="240"/>
      <c r="B331" s="318"/>
      <c r="C331" s="240"/>
      <c r="D331" s="241"/>
      <c r="E331" s="270"/>
      <c r="F331" s="271"/>
      <c r="G331" s="239"/>
      <c r="H331" s="239"/>
      <c r="I331" s="239"/>
      <c r="J331" s="239"/>
      <c r="K331" s="239"/>
      <c r="L331" s="239"/>
      <c r="M331" s="239"/>
      <c r="N331" s="239"/>
      <c r="O331" s="239"/>
      <c r="P331" s="239"/>
      <c r="Q331" s="239"/>
      <c r="R331" s="239"/>
      <c r="S331" s="239"/>
      <c r="T331" s="239"/>
      <c r="U331"/>
      <c r="V331"/>
      <c r="W331"/>
      <c r="X331"/>
      <c r="Y331"/>
      <c r="Z331"/>
      <c r="AA331"/>
    </row>
    <row r="332" spans="1:27" hidden="1" x14ac:dyDescent="0.2">
      <c r="A332" s="240"/>
      <c r="B332" s="318"/>
      <c r="C332" s="240"/>
      <c r="D332" s="241"/>
      <c r="E332" s="270"/>
      <c r="F332" s="271"/>
      <c r="G332" s="239"/>
      <c r="H332" s="239"/>
      <c r="I332" s="239"/>
      <c r="J332" s="239"/>
      <c r="K332" s="239"/>
      <c r="L332" s="239"/>
      <c r="M332" s="239"/>
      <c r="N332" s="239"/>
      <c r="O332" s="239"/>
      <c r="P332" s="239"/>
      <c r="Q332" s="239"/>
      <c r="R332" s="239"/>
      <c r="S332" s="239"/>
      <c r="T332" s="239"/>
      <c r="U332"/>
      <c r="V332"/>
      <c r="W332"/>
      <c r="X332"/>
      <c r="Y332"/>
      <c r="Z332"/>
      <c r="AA332"/>
    </row>
    <row r="333" spans="1:27" hidden="1" x14ac:dyDescent="0.2">
      <c r="A333" s="240"/>
      <c r="B333" s="318"/>
      <c r="C333" s="240"/>
      <c r="D333" s="241"/>
      <c r="E333" s="270"/>
      <c r="F333" s="271"/>
      <c r="G333" s="239"/>
      <c r="H333" s="239"/>
      <c r="I333" s="239"/>
      <c r="J333" s="239"/>
      <c r="K333" s="239"/>
      <c r="L333" s="239"/>
      <c r="M333" s="239"/>
      <c r="N333" s="239"/>
      <c r="O333" s="239"/>
      <c r="P333" s="239"/>
      <c r="Q333" s="239"/>
      <c r="R333" s="239"/>
      <c r="S333" s="239"/>
      <c r="T333" s="239"/>
      <c r="U333"/>
      <c r="V333"/>
      <c r="W333"/>
      <c r="X333"/>
      <c r="Y333"/>
      <c r="Z333"/>
      <c r="AA333"/>
    </row>
    <row r="334" spans="1:27" hidden="1" x14ac:dyDescent="0.2">
      <c r="A334" s="240"/>
      <c r="B334" s="318"/>
      <c r="C334" s="240"/>
      <c r="D334" s="241"/>
      <c r="E334" s="270"/>
      <c r="F334" s="271"/>
      <c r="G334" s="239"/>
      <c r="H334" s="239"/>
      <c r="I334" s="239"/>
      <c r="J334" s="239"/>
      <c r="K334" s="239"/>
      <c r="L334" s="239"/>
      <c r="M334" s="239"/>
      <c r="N334" s="239"/>
      <c r="O334" s="239"/>
      <c r="P334" s="239"/>
      <c r="Q334" s="239"/>
      <c r="R334" s="239"/>
      <c r="S334" s="239"/>
      <c r="T334" s="239"/>
      <c r="U334"/>
      <c r="V334"/>
      <c r="W334"/>
      <c r="X334"/>
      <c r="Y334"/>
      <c r="Z334"/>
      <c r="AA334"/>
    </row>
    <row r="335" spans="1:27" hidden="1" x14ac:dyDescent="0.2">
      <c r="A335" s="240"/>
      <c r="B335" s="318"/>
      <c r="C335" s="240"/>
      <c r="D335" s="241"/>
      <c r="E335" s="270"/>
      <c r="F335" s="271"/>
      <c r="G335" s="239"/>
      <c r="H335" s="239"/>
      <c r="I335" s="239"/>
      <c r="J335" s="239"/>
      <c r="K335" s="239"/>
      <c r="L335" s="239"/>
      <c r="M335" s="239"/>
      <c r="N335" s="239"/>
      <c r="O335" s="239"/>
      <c r="P335" s="239"/>
      <c r="Q335" s="239"/>
      <c r="R335" s="239"/>
      <c r="S335" s="239"/>
      <c r="T335" s="239"/>
      <c r="U335"/>
      <c r="V335"/>
      <c r="W335"/>
      <c r="X335"/>
      <c r="Y335"/>
      <c r="Z335"/>
      <c r="AA335"/>
    </row>
    <row r="336" spans="1:27" hidden="1" x14ac:dyDescent="0.2">
      <c r="A336" s="240"/>
      <c r="B336" s="318"/>
      <c r="C336" s="240"/>
      <c r="D336" s="241"/>
      <c r="E336" s="270"/>
      <c r="F336" s="271"/>
      <c r="G336" s="239"/>
      <c r="H336" s="239"/>
      <c r="I336" s="239"/>
      <c r="J336" s="239"/>
      <c r="K336" s="239"/>
      <c r="L336" s="239"/>
      <c r="M336" s="239"/>
      <c r="N336" s="239"/>
      <c r="O336" s="239"/>
      <c r="P336" s="239"/>
      <c r="Q336" s="239"/>
      <c r="R336" s="239"/>
      <c r="S336" s="239"/>
      <c r="T336" s="239"/>
      <c r="U336"/>
      <c r="V336"/>
      <c r="W336"/>
      <c r="X336"/>
      <c r="Y336"/>
      <c r="Z336"/>
      <c r="AA336"/>
    </row>
    <row r="337" spans="1:27" hidden="1" x14ac:dyDescent="0.2">
      <c r="A337" s="240"/>
      <c r="B337" s="318"/>
      <c r="C337" s="240"/>
      <c r="D337" s="241"/>
      <c r="E337" s="270"/>
      <c r="F337" s="271"/>
      <c r="G337" s="239"/>
      <c r="H337" s="239"/>
      <c r="I337" s="239"/>
      <c r="J337" s="239"/>
      <c r="K337" s="239"/>
      <c r="L337" s="239"/>
      <c r="M337" s="239"/>
      <c r="N337" s="239"/>
      <c r="O337" s="239"/>
      <c r="P337" s="239"/>
      <c r="Q337" s="239"/>
      <c r="R337" s="239"/>
      <c r="S337" s="239"/>
      <c r="T337" s="239"/>
      <c r="U337"/>
      <c r="V337"/>
      <c r="W337"/>
      <c r="X337"/>
      <c r="Y337"/>
      <c r="Z337"/>
      <c r="AA337"/>
    </row>
    <row r="338" spans="1:27" hidden="1" x14ac:dyDescent="0.2">
      <c r="A338" s="240"/>
      <c r="B338" s="318"/>
      <c r="C338" s="240"/>
      <c r="D338" s="241"/>
      <c r="E338" s="270"/>
      <c r="F338" s="271"/>
      <c r="G338" s="239"/>
      <c r="H338" s="239"/>
      <c r="I338" s="239"/>
      <c r="J338" s="239"/>
      <c r="K338" s="239"/>
      <c r="L338" s="239"/>
      <c r="M338" s="239"/>
      <c r="N338" s="239"/>
      <c r="O338" s="239"/>
      <c r="P338" s="239"/>
      <c r="Q338" s="239"/>
      <c r="R338" s="239"/>
      <c r="S338" s="239"/>
      <c r="T338" s="239"/>
      <c r="U338"/>
      <c r="V338"/>
      <c r="W338"/>
      <c r="X338"/>
      <c r="Y338"/>
      <c r="Z338"/>
      <c r="AA338"/>
    </row>
    <row r="339" spans="1:27" hidden="1" x14ac:dyDescent="0.2">
      <c r="A339" s="240"/>
      <c r="B339" s="318"/>
      <c r="C339" s="240"/>
      <c r="D339" s="241"/>
      <c r="E339" s="270"/>
      <c r="F339" s="271"/>
      <c r="G339" s="239"/>
      <c r="H339" s="239"/>
      <c r="I339" s="239"/>
      <c r="J339" s="239"/>
      <c r="K339" s="239"/>
      <c r="L339" s="239"/>
      <c r="M339" s="239"/>
      <c r="N339" s="239"/>
      <c r="O339" s="239"/>
      <c r="P339" s="239"/>
      <c r="Q339" s="239"/>
      <c r="R339" s="239"/>
      <c r="S339" s="239"/>
      <c r="T339" s="239"/>
      <c r="U339"/>
      <c r="V339"/>
      <c r="W339"/>
      <c r="X339"/>
      <c r="Y339"/>
      <c r="Z339"/>
      <c r="AA339"/>
    </row>
    <row r="340" spans="1:27" hidden="1" x14ac:dyDescent="0.2">
      <c r="A340" s="240"/>
      <c r="B340" s="318"/>
      <c r="C340" s="240"/>
      <c r="D340" s="241"/>
      <c r="E340" s="270"/>
      <c r="F340" s="271"/>
      <c r="G340" s="239"/>
      <c r="H340" s="239"/>
      <c r="I340" s="239"/>
      <c r="J340" s="239"/>
      <c r="K340" s="239"/>
      <c r="L340" s="239"/>
      <c r="M340" s="239"/>
      <c r="N340" s="239"/>
      <c r="O340" s="239"/>
      <c r="P340" s="239"/>
      <c r="Q340" s="239"/>
      <c r="R340" s="239"/>
      <c r="S340" s="239"/>
      <c r="T340" s="239"/>
      <c r="U340"/>
      <c r="V340"/>
      <c r="W340"/>
      <c r="X340"/>
      <c r="Y340"/>
      <c r="Z340"/>
      <c r="AA340"/>
    </row>
    <row r="341" spans="1:27" hidden="1" x14ac:dyDescent="0.2">
      <c r="A341" s="240"/>
      <c r="B341" s="318"/>
      <c r="C341" s="240"/>
      <c r="D341" s="241"/>
      <c r="E341" s="270"/>
      <c r="F341" s="271"/>
      <c r="G341" s="239"/>
      <c r="H341" s="239"/>
      <c r="I341" s="239"/>
      <c r="J341" s="239"/>
      <c r="K341" s="239"/>
      <c r="L341" s="239"/>
      <c r="M341" s="239"/>
      <c r="N341" s="239"/>
      <c r="O341" s="239"/>
      <c r="P341" s="239"/>
      <c r="Q341" s="239"/>
      <c r="R341" s="239"/>
      <c r="S341" s="239"/>
      <c r="T341" s="239"/>
      <c r="U341"/>
      <c r="V341"/>
      <c r="W341"/>
      <c r="X341"/>
      <c r="Y341"/>
      <c r="Z341"/>
      <c r="AA341"/>
    </row>
    <row r="342" spans="1:27" hidden="1" x14ac:dyDescent="0.2">
      <c r="A342" s="240"/>
      <c r="B342" s="318"/>
      <c r="C342" s="240"/>
      <c r="D342" s="241"/>
      <c r="E342" s="270"/>
      <c r="F342" s="271"/>
      <c r="G342" s="239"/>
      <c r="H342" s="239"/>
      <c r="I342" s="239"/>
      <c r="J342" s="239"/>
      <c r="K342" s="239"/>
      <c r="L342" s="239"/>
      <c r="M342" s="239"/>
      <c r="N342" s="239"/>
      <c r="O342" s="239"/>
      <c r="P342" s="239"/>
      <c r="Q342" s="239"/>
      <c r="R342" s="239"/>
      <c r="S342" s="239"/>
      <c r="T342" s="239"/>
      <c r="U342"/>
      <c r="V342"/>
      <c r="W342"/>
      <c r="X342"/>
      <c r="Y342"/>
      <c r="Z342"/>
      <c r="AA342"/>
    </row>
    <row r="343" spans="1:27" hidden="1" x14ac:dyDescent="0.2">
      <c r="A343" s="240"/>
      <c r="B343" s="318"/>
      <c r="C343" s="240"/>
      <c r="D343" s="241"/>
      <c r="E343" s="270"/>
      <c r="F343" s="271"/>
      <c r="G343" s="239"/>
      <c r="H343" s="239"/>
      <c r="I343" s="239"/>
      <c r="J343" s="239"/>
      <c r="K343" s="239"/>
      <c r="L343" s="239"/>
      <c r="M343" s="239"/>
      <c r="N343" s="239"/>
      <c r="O343" s="239"/>
      <c r="P343" s="239"/>
      <c r="Q343" s="239"/>
      <c r="R343" s="239"/>
      <c r="S343" s="239"/>
      <c r="T343" s="239"/>
      <c r="U343"/>
      <c r="V343"/>
      <c r="W343"/>
      <c r="X343"/>
      <c r="Y343"/>
      <c r="Z343"/>
      <c r="AA343"/>
    </row>
    <row r="344" spans="1:27" hidden="1" x14ac:dyDescent="0.2">
      <c r="A344" s="240"/>
      <c r="B344" s="318"/>
      <c r="C344" s="240"/>
      <c r="D344" s="241"/>
      <c r="E344" s="270"/>
      <c r="F344" s="271"/>
      <c r="G344" s="239"/>
      <c r="H344" s="239"/>
      <c r="I344" s="239"/>
      <c r="J344" s="239"/>
      <c r="K344" s="239"/>
      <c r="L344" s="239"/>
      <c r="M344" s="239"/>
      <c r="N344" s="239"/>
      <c r="O344" s="239"/>
      <c r="P344" s="239"/>
      <c r="Q344" s="239"/>
      <c r="R344" s="239"/>
      <c r="S344" s="239"/>
      <c r="T344" s="239"/>
      <c r="U344"/>
      <c r="V344"/>
      <c r="W344"/>
      <c r="X344"/>
      <c r="Y344"/>
      <c r="Z344"/>
      <c r="AA344"/>
    </row>
    <row r="345" spans="1:27" hidden="1" x14ac:dyDescent="0.2">
      <c r="A345" s="240"/>
      <c r="B345" s="318"/>
      <c r="C345" s="240"/>
      <c r="D345" s="241"/>
      <c r="E345" s="270"/>
      <c r="F345" s="271"/>
      <c r="G345" s="239"/>
      <c r="H345" s="239"/>
      <c r="I345" s="239"/>
      <c r="J345" s="239"/>
      <c r="K345" s="239"/>
      <c r="L345" s="239"/>
      <c r="M345" s="239"/>
      <c r="N345" s="239"/>
      <c r="O345" s="239"/>
      <c r="P345" s="239"/>
      <c r="Q345" s="239"/>
      <c r="R345" s="239"/>
      <c r="S345" s="239"/>
      <c r="T345" s="239"/>
      <c r="U345"/>
      <c r="V345"/>
      <c r="W345"/>
      <c r="X345"/>
      <c r="Y345"/>
      <c r="Z345"/>
      <c r="AA345"/>
    </row>
    <row r="346" spans="1:27" hidden="1" x14ac:dyDescent="0.2">
      <c r="A346" s="240"/>
      <c r="B346" s="318"/>
      <c r="C346" s="240"/>
      <c r="D346" s="241"/>
      <c r="E346" s="270"/>
      <c r="F346" s="271"/>
      <c r="G346" s="239"/>
      <c r="H346" s="239"/>
      <c r="I346" s="239"/>
      <c r="J346" s="239"/>
      <c r="K346" s="239"/>
      <c r="L346" s="239"/>
      <c r="M346" s="239"/>
      <c r="N346" s="239"/>
      <c r="O346" s="239"/>
      <c r="P346" s="239"/>
      <c r="Q346" s="239"/>
      <c r="R346" s="239"/>
      <c r="S346" s="239"/>
      <c r="T346" s="239"/>
      <c r="U346"/>
      <c r="V346"/>
      <c r="W346"/>
      <c r="X346"/>
      <c r="Y346"/>
      <c r="Z346"/>
      <c r="AA346"/>
    </row>
    <row r="347" spans="1:27" hidden="1" x14ac:dyDescent="0.2">
      <c r="A347" s="240"/>
      <c r="B347" s="318"/>
      <c r="C347" s="240"/>
      <c r="D347" s="241"/>
      <c r="E347" s="270"/>
      <c r="F347" s="271"/>
      <c r="G347" s="239"/>
      <c r="H347" s="239"/>
      <c r="I347" s="239"/>
      <c r="J347" s="239"/>
      <c r="K347" s="239"/>
      <c r="L347" s="239"/>
      <c r="M347" s="239"/>
      <c r="N347" s="239"/>
      <c r="O347" s="239"/>
      <c r="P347" s="239"/>
      <c r="Q347" s="239"/>
      <c r="R347" s="239"/>
      <c r="S347" s="239"/>
      <c r="T347" s="239"/>
      <c r="U347"/>
      <c r="V347"/>
      <c r="W347"/>
      <c r="X347"/>
      <c r="Y347"/>
      <c r="Z347"/>
      <c r="AA347"/>
    </row>
    <row r="348" spans="1:27" hidden="1" x14ac:dyDescent="0.2">
      <c r="A348" s="240"/>
      <c r="B348" s="318"/>
      <c r="C348" s="240"/>
      <c r="D348" s="241"/>
      <c r="E348" s="270"/>
      <c r="F348" s="271"/>
      <c r="G348" s="239"/>
      <c r="H348" s="239"/>
      <c r="I348" s="239"/>
      <c r="J348" s="239"/>
      <c r="K348" s="239"/>
      <c r="L348" s="239"/>
      <c r="M348" s="239"/>
      <c r="N348" s="239"/>
      <c r="O348" s="239"/>
      <c r="P348" s="239"/>
      <c r="Q348" s="239"/>
      <c r="R348" s="239"/>
      <c r="S348" s="239"/>
      <c r="T348" s="239"/>
      <c r="U348"/>
      <c r="V348"/>
      <c r="W348"/>
      <c r="X348"/>
      <c r="Y348"/>
      <c r="Z348"/>
      <c r="AA348"/>
    </row>
    <row r="349" spans="1:27" hidden="1" x14ac:dyDescent="0.2">
      <c r="A349" s="240"/>
      <c r="B349" s="318"/>
      <c r="C349" s="240"/>
      <c r="D349" s="241"/>
      <c r="E349" s="270"/>
      <c r="F349" s="271"/>
      <c r="G349" s="239"/>
      <c r="H349" s="239"/>
      <c r="I349" s="239"/>
      <c r="J349" s="239"/>
      <c r="K349" s="239"/>
      <c r="L349" s="239"/>
      <c r="M349" s="239"/>
      <c r="N349" s="239"/>
      <c r="O349" s="239"/>
      <c r="P349" s="239"/>
      <c r="Q349" s="239"/>
      <c r="R349" s="239"/>
      <c r="S349" s="239"/>
      <c r="T349" s="239"/>
      <c r="U349"/>
      <c r="V349"/>
      <c r="W349"/>
      <c r="X349"/>
      <c r="Y349"/>
      <c r="Z349"/>
      <c r="AA349"/>
    </row>
    <row r="350" spans="1:27" hidden="1" x14ac:dyDescent="0.2">
      <c r="A350" s="240"/>
      <c r="B350" s="318"/>
      <c r="C350" s="240"/>
      <c r="D350" s="241"/>
      <c r="E350" s="270"/>
      <c r="F350" s="271"/>
      <c r="G350" s="239"/>
      <c r="H350" s="239"/>
      <c r="I350" s="239"/>
      <c r="J350" s="239"/>
      <c r="K350" s="239"/>
      <c r="L350" s="239"/>
      <c r="M350" s="239"/>
      <c r="N350" s="239"/>
      <c r="O350" s="239"/>
      <c r="P350" s="239"/>
      <c r="Q350" s="239"/>
      <c r="R350" s="239"/>
      <c r="S350" s="239"/>
      <c r="T350" s="239"/>
      <c r="U350"/>
      <c r="V350"/>
      <c r="W350"/>
      <c r="X350"/>
      <c r="Y350"/>
      <c r="Z350"/>
      <c r="AA350"/>
    </row>
    <row r="351" spans="1:27" hidden="1" x14ac:dyDescent="0.2">
      <c r="A351" s="240"/>
      <c r="B351" s="318"/>
      <c r="C351" s="240"/>
      <c r="D351" s="241"/>
      <c r="E351" s="270"/>
      <c r="F351" s="271"/>
      <c r="G351" s="239"/>
      <c r="H351" s="239"/>
      <c r="I351" s="239"/>
      <c r="J351" s="239"/>
      <c r="K351" s="239"/>
      <c r="L351" s="239"/>
      <c r="M351" s="239"/>
      <c r="N351" s="239"/>
      <c r="O351" s="239"/>
      <c r="P351" s="239"/>
      <c r="Q351" s="239"/>
      <c r="R351" s="239"/>
      <c r="S351" s="239"/>
      <c r="T351" s="239"/>
      <c r="U351"/>
      <c r="V351"/>
      <c r="W351"/>
      <c r="X351"/>
      <c r="Y351"/>
      <c r="Z351"/>
      <c r="AA351"/>
    </row>
    <row r="352" spans="1:27" hidden="1" x14ac:dyDescent="0.2">
      <c r="A352" s="240"/>
      <c r="B352" s="318"/>
      <c r="C352" s="240"/>
      <c r="D352" s="241"/>
      <c r="E352" s="270"/>
      <c r="F352" s="271"/>
      <c r="G352" s="239"/>
      <c r="H352" s="239"/>
      <c r="I352" s="239"/>
      <c r="J352" s="239"/>
      <c r="K352" s="239"/>
      <c r="L352" s="239"/>
      <c r="M352" s="239"/>
      <c r="N352" s="239"/>
      <c r="O352" s="239"/>
      <c r="P352" s="239"/>
      <c r="Q352" s="239"/>
      <c r="R352" s="239"/>
      <c r="S352" s="239"/>
      <c r="T352" s="239"/>
      <c r="U352"/>
      <c r="V352"/>
      <c r="W352"/>
      <c r="X352"/>
      <c r="Y352"/>
      <c r="Z352"/>
      <c r="AA352"/>
    </row>
    <row r="353" spans="1:27" hidden="1" x14ac:dyDescent="0.2">
      <c r="A353" s="240"/>
      <c r="B353" s="318"/>
      <c r="C353" s="240"/>
      <c r="D353" s="241"/>
      <c r="E353" s="270"/>
      <c r="F353" s="271"/>
      <c r="G353" s="239"/>
      <c r="H353" s="239"/>
      <c r="I353" s="239"/>
      <c r="J353" s="239"/>
      <c r="K353" s="239"/>
      <c r="L353" s="239"/>
      <c r="M353" s="239"/>
      <c r="N353" s="239"/>
      <c r="O353" s="239"/>
      <c r="P353" s="239"/>
      <c r="Q353" s="239"/>
      <c r="R353" s="239"/>
      <c r="S353" s="239"/>
      <c r="T353" s="239"/>
      <c r="U353"/>
      <c r="V353"/>
      <c r="W353"/>
      <c r="X353"/>
      <c r="Y353"/>
      <c r="Z353"/>
      <c r="AA353"/>
    </row>
    <row r="354" spans="1:27" hidden="1" x14ac:dyDescent="0.2">
      <c r="A354" s="240"/>
      <c r="B354" s="318"/>
      <c r="C354" s="240"/>
      <c r="D354" s="241"/>
      <c r="E354" s="270"/>
      <c r="F354" s="271"/>
      <c r="G354" s="239"/>
      <c r="H354" s="239"/>
      <c r="I354" s="239"/>
      <c r="J354" s="239"/>
      <c r="K354" s="239"/>
      <c r="L354" s="239"/>
      <c r="M354" s="239"/>
      <c r="N354" s="239"/>
      <c r="O354" s="239"/>
      <c r="P354" s="239"/>
      <c r="Q354" s="239"/>
      <c r="R354" s="239"/>
      <c r="S354" s="239"/>
      <c r="T354" s="239"/>
      <c r="U354"/>
      <c r="V354"/>
      <c r="W354"/>
      <c r="X354"/>
      <c r="Y354"/>
      <c r="Z354"/>
      <c r="AA354"/>
    </row>
    <row r="355" spans="1:27" hidden="1" x14ac:dyDescent="0.2">
      <c r="A355" s="240"/>
      <c r="B355" s="318"/>
      <c r="C355" s="240"/>
      <c r="D355" s="241"/>
      <c r="E355" s="270"/>
      <c r="F355" s="271"/>
      <c r="G355" s="239"/>
      <c r="H355" s="239"/>
      <c r="I355" s="239"/>
      <c r="J355" s="239"/>
      <c r="K355" s="239"/>
      <c r="L355" s="239"/>
      <c r="M355" s="239"/>
      <c r="N355" s="239"/>
      <c r="O355" s="239"/>
      <c r="P355" s="239"/>
      <c r="Q355" s="239"/>
      <c r="R355" s="239"/>
      <c r="S355" s="239"/>
      <c r="T355" s="239"/>
      <c r="U355"/>
      <c r="V355"/>
      <c r="W355"/>
      <c r="X355"/>
      <c r="Y355"/>
      <c r="Z355"/>
      <c r="AA355"/>
    </row>
    <row r="356" spans="1:27" hidden="1" x14ac:dyDescent="0.2">
      <c r="A356" s="240"/>
      <c r="B356" s="318"/>
      <c r="C356" s="240"/>
      <c r="D356" s="241"/>
      <c r="E356" s="270"/>
      <c r="F356" s="271"/>
      <c r="G356" s="239"/>
      <c r="H356" s="239"/>
      <c r="I356" s="239"/>
      <c r="J356" s="239"/>
      <c r="K356" s="239"/>
      <c r="L356" s="239"/>
      <c r="M356" s="239"/>
      <c r="N356" s="239"/>
      <c r="O356" s="239"/>
      <c r="P356" s="239"/>
      <c r="Q356" s="239"/>
      <c r="R356" s="239"/>
      <c r="S356" s="239"/>
      <c r="T356" s="239"/>
      <c r="U356"/>
      <c r="V356"/>
      <c r="W356"/>
      <c r="X356"/>
      <c r="Y356"/>
      <c r="Z356"/>
      <c r="AA356"/>
    </row>
    <row r="357" spans="1:27" hidden="1" x14ac:dyDescent="0.2">
      <c r="A357" s="240"/>
      <c r="B357" s="318"/>
      <c r="C357" s="240"/>
      <c r="D357" s="241"/>
      <c r="E357" s="270"/>
      <c r="F357" s="271"/>
      <c r="G357" s="239"/>
      <c r="H357" s="239"/>
      <c r="I357" s="239"/>
      <c r="J357" s="239"/>
      <c r="K357" s="239"/>
      <c r="L357" s="239"/>
      <c r="M357" s="239"/>
      <c r="N357" s="239"/>
      <c r="O357" s="239"/>
      <c r="P357" s="239"/>
      <c r="Q357" s="239"/>
      <c r="R357" s="239"/>
      <c r="S357" s="239"/>
      <c r="T357" s="239"/>
      <c r="U357"/>
      <c r="V357"/>
      <c r="W357"/>
      <c r="X357"/>
      <c r="Y357"/>
      <c r="Z357"/>
      <c r="AA357"/>
    </row>
    <row r="358" spans="1:27" hidden="1" x14ac:dyDescent="0.2">
      <c r="A358" s="240"/>
      <c r="B358" s="318"/>
      <c r="C358" s="240"/>
      <c r="D358" s="241"/>
      <c r="E358" s="270"/>
      <c r="F358" s="271"/>
      <c r="G358" s="239"/>
      <c r="H358" s="239"/>
      <c r="I358" s="239"/>
      <c r="J358" s="239"/>
      <c r="K358" s="239"/>
      <c r="L358" s="239"/>
      <c r="M358" s="239"/>
      <c r="N358" s="239"/>
      <c r="O358" s="239"/>
      <c r="P358" s="239"/>
      <c r="Q358" s="239"/>
      <c r="R358" s="239"/>
      <c r="S358" s="239"/>
      <c r="T358" s="239"/>
      <c r="U358"/>
      <c r="V358"/>
      <c r="W358"/>
      <c r="X358"/>
      <c r="Y358"/>
      <c r="Z358"/>
      <c r="AA358"/>
    </row>
    <row r="359" spans="1:27" hidden="1" x14ac:dyDescent="0.2">
      <c r="A359" s="240"/>
      <c r="B359" s="318"/>
      <c r="C359" s="240"/>
      <c r="D359" s="241"/>
      <c r="E359" s="270"/>
      <c r="F359" s="271"/>
      <c r="G359" s="239"/>
      <c r="H359" s="239"/>
      <c r="I359" s="239"/>
      <c r="J359" s="239"/>
      <c r="K359" s="239"/>
      <c r="L359" s="239"/>
      <c r="M359" s="239"/>
      <c r="N359" s="239"/>
      <c r="O359" s="239"/>
      <c r="P359" s="239"/>
      <c r="Q359" s="239"/>
      <c r="R359" s="239"/>
      <c r="S359" s="239"/>
      <c r="T359" s="239"/>
      <c r="U359"/>
      <c r="V359"/>
      <c r="W359"/>
      <c r="X359"/>
      <c r="Y359"/>
      <c r="Z359"/>
      <c r="AA359"/>
    </row>
    <row r="360" spans="1:27" hidden="1" x14ac:dyDescent="0.2">
      <c r="A360" s="240"/>
      <c r="B360" s="318"/>
      <c r="C360" s="240"/>
      <c r="D360" s="241"/>
      <c r="E360" s="270"/>
      <c r="F360" s="271"/>
      <c r="G360" s="239"/>
      <c r="H360" s="239"/>
      <c r="I360" s="239"/>
      <c r="J360" s="239"/>
      <c r="K360" s="239"/>
      <c r="L360" s="239"/>
      <c r="M360" s="239"/>
      <c r="N360" s="239"/>
      <c r="O360" s="239"/>
      <c r="P360" s="239"/>
      <c r="Q360" s="239"/>
      <c r="R360" s="239"/>
      <c r="S360" s="239"/>
      <c r="T360" s="239"/>
      <c r="U360"/>
      <c r="V360"/>
      <c r="W360"/>
      <c r="X360"/>
      <c r="Y360"/>
      <c r="Z360"/>
      <c r="AA360"/>
    </row>
    <row r="361" spans="1:27" hidden="1" x14ac:dyDescent="0.2">
      <c r="A361" s="240"/>
      <c r="B361" s="318"/>
      <c r="C361" s="240"/>
      <c r="D361" s="241"/>
      <c r="E361" s="270"/>
      <c r="F361" s="271"/>
      <c r="G361" s="239"/>
      <c r="H361" s="239"/>
      <c r="I361" s="239"/>
      <c r="J361" s="239"/>
      <c r="K361" s="239"/>
      <c r="L361" s="239"/>
      <c r="M361" s="239"/>
      <c r="N361" s="239"/>
      <c r="O361" s="239"/>
      <c r="P361" s="239"/>
      <c r="Q361" s="239"/>
      <c r="R361" s="239"/>
      <c r="S361" s="239"/>
      <c r="T361" s="239"/>
      <c r="U361"/>
      <c r="V361"/>
      <c r="W361"/>
      <c r="X361"/>
      <c r="Y361"/>
      <c r="Z361"/>
      <c r="AA361"/>
    </row>
    <row r="362" spans="1:27" hidden="1" x14ac:dyDescent="0.2">
      <c r="A362" s="240"/>
      <c r="B362" s="318"/>
      <c r="C362" s="240"/>
      <c r="D362" s="241"/>
      <c r="E362" s="270"/>
      <c r="F362" s="271"/>
      <c r="G362" s="239"/>
      <c r="H362" s="239"/>
      <c r="I362" s="239"/>
      <c r="J362" s="239"/>
      <c r="K362" s="239"/>
      <c r="L362" s="239"/>
      <c r="M362" s="239"/>
      <c r="N362" s="239"/>
      <c r="O362" s="239"/>
      <c r="P362" s="239"/>
      <c r="Q362" s="239"/>
      <c r="R362" s="239"/>
      <c r="S362" s="239"/>
      <c r="T362" s="239"/>
      <c r="U362"/>
      <c r="V362"/>
      <c r="W362"/>
      <c r="X362"/>
      <c r="Y362"/>
      <c r="Z362"/>
      <c r="AA362"/>
    </row>
    <row r="363" spans="1:27" hidden="1" x14ac:dyDescent="0.2">
      <c r="A363" s="240"/>
      <c r="B363" s="318"/>
      <c r="C363" s="240"/>
      <c r="D363" s="241"/>
      <c r="E363" s="270"/>
      <c r="F363" s="271"/>
      <c r="G363" s="239"/>
      <c r="H363" s="239"/>
      <c r="I363" s="239"/>
      <c r="J363" s="239"/>
      <c r="K363" s="239"/>
      <c r="L363" s="239"/>
      <c r="M363" s="239"/>
      <c r="N363" s="239"/>
      <c r="O363" s="239"/>
      <c r="P363" s="239"/>
      <c r="Q363" s="239"/>
      <c r="R363" s="239"/>
      <c r="S363" s="239"/>
      <c r="T363" s="239"/>
      <c r="U363"/>
      <c r="V363"/>
      <c r="W363"/>
      <c r="X363"/>
      <c r="Y363"/>
      <c r="Z363"/>
      <c r="AA363"/>
    </row>
    <row r="364" spans="1:27" hidden="1" x14ac:dyDescent="0.2">
      <c r="A364" s="240"/>
      <c r="B364" s="318"/>
      <c r="C364" s="240"/>
      <c r="D364" s="241"/>
      <c r="E364" s="270"/>
      <c r="F364" s="271"/>
      <c r="G364" s="239"/>
      <c r="H364" s="239"/>
      <c r="I364" s="239"/>
      <c r="J364" s="239"/>
      <c r="K364" s="239"/>
      <c r="L364" s="239"/>
      <c r="M364" s="239"/>
      <c r="N364" s="239"/>
      <c r="O364" s="239"/>
      <c r="P364" s="239"/>
      <c r="Q364" s="239"/>
      <c r="R364" s="239"/>
      <c r="S364" s="239"/>
      <c r="T364" s="239"/>
      <c r="U364"/>
      <c r="V364"/>
      <c r="W364"/>
      <c r="X364"/>
      <c r="Y364"/>
      <c r="Z364"/>
      <c r="AA364"/>
    </row>
    <row r="365" spans="1:27" hidden="1" x14ac:dyDescent="0.2">
      <c r="A365" s="240"/>
      <c r="B365" s="318"/>
      <c r="C365" s="240"/>
      <c r="D365" s="241"/>
      <c r="E365" s="270"/>
      <c r="F365" s="271"/>
      <c r="G365" s="239"/>
      <c r="H365" s="239"/>
      <c r="I365" s="239"/>
      <c r="J365" s="239"/>
      <c r="K365" s="239"/>
      <c r="L365" s="239"/>
      <c r="M365" s="239"/>
      <c r="N365" s="239"/>
      <c r="O365" s="239"/>
      <c r="P365" s="239"/>
      <c r="Q365" s="239"/>
      <c r="R365" s="239"/>
      <c r="S365" s="239"/>
      <c r="T365" s="239"/>
      <c r="U365"/>
      <c r="V365"/>
      <c r="W365"/>
      <c r="X365"/>
      <c r="Y365"/>
      <c r="Z365"/>
      <c r="AA365"/>
    </row>
    <row r="366" spans="1:27" hidden="1" x14ac:dyDescent="0.2">
      <c r="A366" s="240"/>
      <c r="B366" s="318"/>
      <c r="C366" s="240"/>
      <c r="D366" s="241"/>
      <c r="E366" s="270"/>
      <c r="F366" s="271"/>
      <c r="G366" s="239"/>
      <c r="H366" s="239"/>
      <c r="I366" s="239"/>
      <c r="J366" s="239"/>
      <c r="K366" s="239"/>
      <c r="L366" s="239"/>
      <c r="M366" s="239"/>
      <c r="N366" s="239"/>
      <c r="O366" s="239"/>
      <c r="P366" s="239"/>
      <c r="Q366" s="239"/>
      <c r="R366" s="239"/>
      <c r="S366" s="239"/>
      <c r="T366" s="239"/>
      <c r="U366"/>
      <c r="V366"/>
      <c r="W366"/>
      <c r="X366"/>
      <c r="Y366"/>
      <c r="Z366"/>
      <c r="AA366"/>
    </row>
    <row r="367" spans="1:27" hidden="1" x14ac:dyDescent="0.2">
      <c r="A367" s="240"/>
      <c r="B367" s="318"/>
      <c r="C367" s="240"/>
      <c r="D367" s="241"/>
      <c r="E367" s="270"/>
      <c r="F367" s="271"/>
      <c r="G367" s="239"/>
      <c r="H367" s="239"/>
      <c r="I367" s="239"/>
      <c r="J367" s="239"/>
      <c r="K367" s="239"/>
      <c r="L367" s="239"/>
      <c r="M367" s="239"/>
      <c r="N367" s="239"/>
      <c r="O367" s="239"/>
      <c r="P367" s="239"/>
      <c r="Q367" s="239"/>
      <c r="R367" s="239"/>
      <c r="S367" s="239"/>
      <c r="T367" s="239"/>
      <c r="U367"/>
      <c r="V367"/>
      <c r="W367"/>
      <c r="X367"/>
      <c r="Y367"/>
      <c r="Z367"/>
      <c r="AA367"/>
    </row>
    <row r="368" spans="1:27" hidden="1" x14ac:dyDescent="0.2">
      <c r="A368" s="240"/>
      <c r="B368" s="318"/>
      <c r="C368" s="240"/>
      <c r="D368" s="241"/>
      <c r="E368" s="270"/>
      <c r="F368" s="271"/>
      <c r="G368" s="239"/>
      <c r="H368" s="239"/>
      <c r="I368" s="239"/>
      <c r="J368" s="239"/>
      <c r="K368" s="239"/>
      <c r="L368" s="239"/>
      <c r="M368" s="239"/>
      <c r="N368" s="239"/>
      <c r="O368" s="239"/>
      <c r="P368" s="239"/>
      <c r="Q368" s="239"/>
      <c r="R368" s="239"/>
      <c r="S368" s="239"/>
      <c r="T368" s="239"/>
      <c r="U368"/>
      <c r="V368"/>
      <c r="W368"/>
      <c r="X368"/>
      <c r="Y368"/>
      <c r="Z368"/>
      <c r="AA368"/>
    </row>
    <row r="369" spans="1:27" hidden="1" x14ac:dyDescent="0.2">
      <c r="A369" s="240"/>
      <c r="B369" s="318"/>
      <c r="C369" s="240"/>
      <c r="D369" s="241"/>
      <c r="E369" s="270"/>
      <c r="F369" s="271"/>
      <c r="G369" s="239"/>
      <c r="H369" s="239"/>
      <c r="I369" s="239"/>
      <c r="J369" s="239"/>
      <c r="K369" s="239"/>
      <c r="L369" s="239"/>
      <c r="M369" s="239"/>
      <c r="N369" s="239"/>
      <c r="O369" s="239"/>
      <c r="P369" s="239"/>
      <c r="Q369" s="239"/>
      <c r="R369" s="239"/>
      <c r="S369" s="239"/>
      <c r="T369" s="239"/>
      <c r="U369"/>
      <c r="V369"/>
      <c r="W369"/>
      <c r="X369"/>
      <c r="Y369"/>
      <c r="Z369"/>
      <c r="AA369"/>
    </row>
    <row r="370" spans="1:27" hidden="1" x14ac:dyDescent="0.2">
      <c r="A370" s="240"/>
      <c r="B370" s="318"/>
      <c r="C370" s="240"/>
      <c r="D370" s="241"/>
      <c r="E370" s="270"/>
      <c r="F370" s="271"/>
      <c r="G370" s="239"/>
      <c r="H370" s="239"/>
      <c r="I370" s="239"/>
      <c r="J370" s="239"/>
      <c r="K370" s="239"/>
      <c r="L370" s="239"/>
      <c r="M370" s="239"/>
      <c r="N370" s="239"/>
      <c r="O370" s="239"/>
      <c r="P370" s="239"/>
      <c r="Q370" s="239"/>
      <c r="R370" s="239"/>
      <c r="S370" s="239"/>
      <c r="T370" s="239"/>
      <c r="U370"/>
      <c r="V370"/>
      <c r="W370"/>
      <c r="X370"/>
      <c r="Y370"/>
      <c r="Z370"/>
      <c r="AA370"/>
    </row>
    <row r="371" spans="1:27" hidden="1" x14ac:dyDescent="0.2">
      <c r="A371" s="240"/>
      <c r="B371" s="318"/>
      <c r="C371" s="240"/>
      <c r="D371" s="241"/>
      <c r="E371" s="270"/>
      <c r="F371" s="271"/>
      <c r="G371" s="239"/>
      <c r="H371" s="239"/>
      <c r="I371" s="239"/>
      <c r="J371" s="239"/>
      <c r="K371" s="239"/>
      <c r="L371" s="239"/>
      <c r="M371" s="239"/>
      <c r="N371" s="239"/>
      <c r="O371" s="239"/>
      <c r="P371" s="239"/>
      <c r="Q371" s="239"/>
      <c r="R371" s="239"/>
      <c r="S371" s="239"/>
      <c r="T371" s="239"/>
      <c r="U371"/>
      <c r="V371"/>
      <c r="W371"/>
      <c r="X371"/>
      <c r="Y371"/>
      <c r="Z371"/>
      <c r="AA371"/>
    </row>
    <row r="372" spans="1:27" hidden="1" x14ac:dyDescent="0.2">
      <c r="A372" s="240"/>
      <c r="B372" s="318"/>
      <c r="C372" s="240"/>
      <c r="D372" s="241"/>
      <c r="E372" s="270"/>
      <c r="F372" s="271"/>
      <c r="G372" s="239"/>
      <c r="H372" s="239"/>
      <c r="I372" s="239"/>
      <c r="J372" s="239"/>
      <c r="K372" s="239"/>
      <c r="L372" s="239"/>
      <c r="M372" s="239"/>
      <c r="N372" s="239"/>
      <c r="O372" s="239"/>
      <c r="P372" s="239"/>
      <c r="Q372" s="239"/>
      <c r="R372" s="239"/>
      <c r="S372" s="239"/>
      <c r="T372" s="239"/>
      <c r="U372"/>
      <c r="V372"/>
      <c r="W372"/>
      <c r="X372"/>
      <c r="Y372"/>
      <c r="Z372"/>
      <c r="AA372"/>
    </row>
    <row r="373" spans="1:27" hidden="1" x14ac:dyDescent="0.2">
      <c r="A373" s="240"/>
      <c r="B373" s="318"/>
      <c r="C373" s="240"/>
      <c r="D373" s="241"/>
      <c r="E373" s="270"/>
      <c r="F373" s="271"/>
      <c r="G373" s="239"/>
      <c r="H373" s="239"/>
      <c r="I373" s="239"/>
      <c r="J373" s="239"/>
      <c r="K373" s="239"/>
      <c r="L373" s="239"/>
      <c r="M373" s="239"/>
      <c r="N373" s="239"/>
      <c r="O373" s="239"/>
      <c r="P373" s="239"/>
      <c r="Q373" s="239"/>
      <c r="R373" s="239"/>
      <c r="S373" s="239"/>
      <c r="T373" s="239"/>
      <c r="U373"/>
      <c r="V373"/>
      <c r="W373"/>
      <c r="X373"/>
      <c r="Y373"/>
      <c r="Z373"/>
      <c r="AA373"/>
    </row>
    <row r="374" spans="1:27" hidden="1" x14ac:dyDescent="0.2">
      <c r="A374" s="240"/>
      <c r="B374" s="318"/>
      <c r="C374" s="240"/>
      <c r="D374" s="241"/>
      <c r="E374" s="270"/>
      <c r="F374" s="271"/>
      <c r="G374" s="239"/>
      <c r="H374" s="239"/>
      <c r="I374" s="239"/>
      <c r="J374" s="239"/>
      <c r="K374" s="239"/>
      <c r="L374" s="239"/>
      <c r="M374" s="239"/>
      <c r="N374" s="239"/>
      <c r="O374" s="239"/>
      <c r="P374" s="239"/>
      <c r="Q374" s="239"/>
      <c r="R374" s="239"/>
      <c r="S374" s="239"/>
      <c r="T374" s="239"/>
      <c r="U374"/>
      <c r="V374"/>
      <c r="W374"/>
      <c r="X374"/>
      <c r="Y374"/>
      <c r="Z374"/>
      <c r="AA374"/>
    </row>
    <row r="375" spans="1:27" hidden="1" x14ac:dyDescent="0.2">
      <c r="A375" s="240"/>
      <c r="B375" s="318"/>
      <c r="C375" s="240"/>
      <c r="D375" s="241"/>
      <c r="E375" s="270"/>
      <c r="F375" s="271"/>
      <c r="G375" s="239"/>
      <c r="H375" s="239"/>
      <c r="I375" s="239"/>
      <c r="J375" s="239"/>
      <c r="K375" s="239"/>
      <c r="L375" s="239"/>
      <c r="M375" s="239"/>
      <c r="N375" s="239"/>
      <c r="O375" s="239"/>
      <c r="P375" s="239"/>
      <c r="Q375" s="239"/>
      <c r="R375" s="239"/>
      <c r="S375" s="239"/>
      <c r="T375" s="239"/>
      <c r="U375"/>
      <c r="V375"/>
      <c r="W375"/>
      <c r="X375"/>
      <c r="Y375"/>
      <c r="Z375"/>
      <c r="AA375"/>
    </row>
    <row r="376" spans="1:27" hidden="1" x14ac:dyDescent="0.2">
      <c r="A376" s="240"/>
      <c r="B376" s="318"/>
      <c r="C376" s="240"/>
      <c r="D376" s="241"/>
      <c r="E376" s="270"/>
      <c r="F376" s="271"/>
      <c r="G376" s="239"/>
      <c r="H376" s="239"/>
      <c r="I376" s="239"/>
      <c r="J376" s="239"/>
      <c r="K376" s="239"/>
      <c r="L376" s="239"/>
      <c r="M376" s="239"/>
      <c r="N376" s="239"/>
      <c r="O376" s="239"/>
      <c r="P376" s="239"/>
      <c r="Q376" s="239"/>
      <c r="R376" s="239"/>
      <c r="S376" s="239"/>
      <c r="T376" s="239"/>
      <c r="U376"/>
      <c r="V376"/>
      <c r="W376"/>
      <c r="X376"/>
      <c r="Y376"/>
      <c r="Z376"/>
      <c r="AA376"/>
    </row>
    <row r="377" spans="1:27" hidden="1" x14ac:dyDescent="0.2">
      <c r="A377" s="240"/>
      <c r="B377" s="318"/>
      <c r="C377" s="240"/>
      <c r="D377" s="241"/>
      <c r="E377" s="270"/>
      <c r="F377" s="271"/>
      <c r="G377" s="239"/>
      <c r="H377" s="239"/>
      <c r="I377" s="239"/>
      <c r="J377" s="239"/>
      <c r="K377" s="239"/>
      <c r="L377" s="239"/>
      <c r="M377" s="239"/>
      <c r="N377" s="239"/>
      <c r="O377" s="239"/>
      <c r="P377" s="239"/>
      <c r="Q377" s="239"/>
      <c r="R377" s="239"/>
      <c r="S377" s="239"/>
      <c r="T377" s="239"/>
      <c r="U377"/>
      <c r="V377"/>
      <c r="W377"/>
      <c r="X377"/>
      <c r="Y377"/>
      <c r="Z377"/>
      <c r="AA377"/>
    </row>
    <row r="378" spans="1:27" hidden="1" x14ac:dyDescent="0.2">
      <c r="A378" s="240"/>
      <c r="B378" s="318"/>
      <c r="C378" s="240"/>
      <c r="D378" s="241"/>
      <c r="E378" s="270"/>
      <c r="F378" s="271"/>
      <c r="G378" s="239"/>
      <c r="H378" s="239"/>
      <c r="I378" s="239"/>
      <c r="J378" s="239"/>
      <c r="K378" s="239"/>
      <c r="L378" s="239"/>
      <c r="M378" s="239"/>
      <c r="N378" s="239"/>
      <c r="O378" s="239"/>
      <c r="P378" s="239"/>
      <c r="Q378" s="239"/>
      <c r="R378" s="239"/>
      <c r="S378" s="239"/>
      <c r="T378" s="239"/>
      <c r="U378"/>
      <c r="V378"/>
      <c r="W378"/>
      <c r="X378"/>
      <c r="Y378"/>
      <c r="Z378"/>
      <c r="AA378"/>
    </row>
    <row r="379" spans="1:27" hidden="1" x14ac:dyDescent="0.2">
      <c r="A379" s="240"/>
      <c r="B379" s="318"/>
      <c r="C379" s="240"/>
      <c r="D379" s="241"/>
      <c r="E379" s="270"/>
      <c r="F379" s="271"/>
      <c r="G379" s="239"/>
      <c r="H379" s="239"/>
      <c r="I379" s="239"/>
      <c r="J379" s="239"/>
      <c r="K379" s="239"/>
      <c r="L379" s="239"/>
      <c r="M379" s="239"/>
      <c r="N379" s="239"/>
      <c r="O379" s="239"/>
      <c r="P379" s="239"/>
      <c r="Q379" s="239"/>
      <c r="R379" s="239"/>
      <c r="S379" s="239"/>
      <c r="T379" s="239"/>
      <c r="U379"/>
      <c r="V379"/>
      <c r="W379"/>
      <c r="X379"/>
      <c r="Y379"/>
      <c r="Z379"/>
      <c r="AA379"/>
    </row>
    <row r="380" spans="1:27" hidden="1" x14ac:dyDescent="0.2">
      <c r="A380" s="240"/>
      <c r="B380" s="318"/>
      <c r="C380" s="240"/>
      <c r="D380" s="241"/>
      <c r="E380" s="270"/>
      <c r="F380" s="271"/>
      <c r="G380" s="239"/>
      <c r="H380" s="239"/>
      <c r="I380" s="239"/>
      <c r="J380" s="239"/>
      <c r="K380" s="239"/>
      <c r="L380" s="239"/>
      <c r="M380" s="239"/>
      <c r="N380" s="239"/>
      <c r="O380" s="239"/>
      <c r="P380" s="239"/>
      <c r="Q380" s="239"/>
      <c r="R380" s="239"/>
      <c r="S380" s="239"/>
      <c r="T380" s="239"/>
      <c r="U380"/>
      <c r="V380"/>
      <c r="W380"/>
      <c r="X380"/>
      <c r="Y380"/>
      <c r="Z380"/>
      <c r="AA380"/>
    </row>
    <row r="381" spans="1:27" hidden="1" x14ac:dyDescent="0.2">
      <c r="A381" s="240"/>
      <c r="B381" s="318"/>
      <c r="C381" s="240"/>
      <c r="D381" s="241"/>
      <c r="E381" s="270"/>
      <c r="F381" s="271"/>
      <c r="G381" s="239"/>
      <c r="H381" s="239"/>
      <c r="I381" s="239"/>
      <c r="J381" s="239"/>
      <c r="K381" s="239"/>
      <c r="L381" s="239"/>
      <c r="M381" s="239"/>
      <c r="N381" s="239"/>
      <c r="O381" s="239"/>
      <c r="P381" s="239"/>
      <c r="Q381" s="239"/>
      <c r="R381" s="239"/>
      <c r="S381" s="239"/>
      <c r="T381" s="239"/>
      <c r="U381"/>
      <c r="V381"/>
      <c r="W381"/>
      <c r="X381"/>
      <c r="Y381"/>
      <c r="Z381"/>
      <c r="AA381"/>
    </row>
    <row r="382" spans="1:27" hidden="1" x14ac:dyDescent="0.2">
      <c r="A382" s="240"/>
      <c r="B382" s="318"/>
      <c r="C382" s="240"/>
      <c r="D382" s="241"/>
      <c r="E382" s="270"/>
      <c r="F382" s="271"/>
      <c r="G382" s="239"/>
      <c r="H382" s="239"/>
      <c r="I382" s="239"/>
      <c r="J382" s="239"/>
      <c r="K382" s="239"/>
      <c r="L382" s="239"/>
      <c r="M382" s="239"/>
      <c r="N382" s="239"/>
      <c r="O382" s="239"/>
      <c r="P382" s="239"/>
      <c r="Q382" s="239"/>
      <c r="R382" s="239"/>
      <c r="S382" s="239"/>
      <c r="T382" s="239"/>
      <c r="U382"/>
      <c r="V382"/>
      <c r="W382"/>
      <c r="X382"/>
      <c r="Y382"/>
      <c r="Z382"/>
      <c r="AA382"/>
    </row>
    <row r="383" spans="1:27" hidden="1" x14ac:dyDescent="0.2">
      <c r="A383" s="240"/>
      <c r="B383" s="318"/>
      <c r="C383" s="240"/>
      <c r="D383" s="241"/>
      <c r="E383" s="270"/>
      <c r="F383" s="271"/>
      <c r="G383" s="239"/>
      <c r="H383" s="239"/>
      <c r="I383" s="239"/>
      <c r="J383" s="239"/>
      <c r="K383" s="239"/>
      <c r="L383" s="239"/>
      <c r="M383" s="239"/>
      <c r="N383" s="239"/>
      <c r="O383" s="239"/>
      <c r="P383" s="239"/>
      <c r="Q383" s="239"/>
      <c r="R383" s="239"/>
      <c r="S383" s="239"/>
      <c r="T383" s="239"/>
      <c r="U383"/>
      <c r="V383"/>
      <c r="W383"/>
      <c r="X383"/>
      <c r="Y383"/>
      <c r="Z383"/>
      <c r="AA383"/>
    </row>
    <row r="384" spans="1:27" hidden="1" x14ac:dyDescent="0.2">
      <c r="A384" s="240"/>
      <c r="B384" s="318"/>
      <c r="C384" s="240"/>
      <c r="D384" s="241"/>
      <c r="E384" s="270"/>
      <c r="F384" s="271"/>
      <c r="G384" s="239"/>
      <c r="H384" s="239"/>
      <c r="I384" s="239"/>
      <c r="J384" s="239"/>
      <c r="K384" s="239"/>
      <c r="L384" s="239"/>
      <c r="M384" s="239"/>
      <c r="N384" s="239"/>
      <c r="O384" s="239"/>
      <c r="P384" s="239"/>
      <c r="Q384" s="239"/>
      <c r="R384" s="239"/>
      <c r="S384" s="239"/>
      <c r="T384" s="239"/>
      <c r="U384"/>
      <c r="V384"/>
      <c r="W384"/>
      <c r="X384"/>
      <c r="Y384"/>
      <c r="Z384"/>
      <c r="AA384"/>
    </row>
    <row r="385" spans="1:27" hidden="1" x14ac:dyDescent="0.2">
      <c r="A385" s="240"/>
      <c r="B385" s="318"/>
      <c r="C385" s="240"/>
      <c r="D385" s="241"/>
      <c r="E385" s="270"/>
      <c r="F385" s="271"/>
      <c r="G385" s="239"/>
      <c r="H385" s="239"/>
      <c r="I385" s="239"/>
      <c r="J385" s="239"/>
      <c r="K385" s="239"/>
      <c r="L385" s="239"/>
      <c r="M385" s="239"/>
      <c r="N385" s="239"/>
      <c r="O385" s="239"/>
      <c r="P385" s="239"/>
      <c r="Q385" s="239"/>
      <c r="R385" s="239"/>
      <c r="S385" s="239"/>
      <c r="T385" s="239"/>
      <c r="U385"/>
      <c r="V385"/>
      <c r="W385"/>
      <c r="X385"/>
      <c r="Y385"/>
      <c r="Z385"/>
      <c r="AA385"/>
    </row>
    <row r="386" spans="1:27" hidden="1" x14ac:dyDescent="0.2">
      <c r="A386" s="240"/>
      <c r="B386" s="318"/>
      <c r="C386" s="240"/>
      <c r="D386" s="241"/>
      <c r="E386" s="270"/>
      <c r="F386" s="271"/>
      <c r="G386" s="239"/>
      <c r="H386" s="239"/>
      <c r="I386" s="239"/>
      <c r="J386" s="239"/>
      <c r="K386" s="239"/>
      <c r="L386" s="239"/>
      <c r="M386" s="239"/>
      <c r="N386" s="239"/>
      <c r="O386" s="239"/>
      <c r="P386" s="239"/>
      <c r="Q386" s="239"/>
      <c r="R386" s="239"/>
      <c r="S386" s="239"/>
      <c r="T386" s="239"/>
      <c r="U386"/>
      <c r="V386"/>
      <c r="W386"/>
      <c r="X386"/>
      <c r="Y386"/>
      <c r="Z386"/>
      <c r="AA386"/>
    </row>
    <row r="387" spans="1:27" hidden="1" x14ac:dyDescent="0.2">
      <c r="A387" s="240"/>
      <c r="B387" s="318"/>
      <c r="C387" s="240"/>
      <c r="D387" s="241"/>
      <c r="E387" s="270"/>
      <c r="F387" s="271"/>
      <c r="G387" s="239"/>
      <c r="H387" s="239"/>
      <c r="I387" s="239"/>
      <c r="J387" s="239"/>
      <c r="K387" s="239"/>
      <c r="L387" s="239"/>
      <c r="M387" s="239"/>
      <c r="N387" s="239"/>
      <c r="O387" s="239"/>
      <c r="P387" s="239"/>
      <c r="Q387" s="239"/>
      <c r="R387" s="239"/>
      <c r="S387" s="239"/>
      <c r="T387" s="239"/>
      <c r="U387"/>
      <c r="V387"/>
      <c r="W387"/>
      <c r="X387"/>
      <c r="Y387"/>
      <c r="Z387"/>
      <c r="AA387"/>
    </row>
    <row r="388" spans="1:27" hidden="1" x14ac:dyDescent="0.2">
      <c r="A388" s="240"/>
      <c r="B388" s="318"/>
      <c r="C388" s="240"/>
      <c r="D388" s="241"/>
      <c r="E388" s="270"/>
      <c r="F388" s="271"/>
      <c r="G388" s="239"/>
      <c r="H388" s="239"/>
      <c r="I388" s="239"/>
      <c r="J388" s="239"/>
      <c r="K388" s="239"/>
      <c r="L388" s="239"/>
      <c r="M388" s="239"/>
      <c r="N388" s="239"/>
      <c r="O388" s="239"/>
      <c r="P388" s="239"/>
      <c r="Q388" s="239"/>
      <c r="R388" s="239"/>
      <c r="S388" s="239"/>
      <c r="T388" s="239"/>
      <c r="U388"/>
      <c r="V388"/>
      <c r="W388"/>
      <c r="X388"/>
      <c r="Y388"/>
      <c r="Z388"/>
      <c r="AA388"/>
    </row>
    <row r="389" spans="1:27" hidden="1" x14ac:dyDescent="0.2">
      <c r="A389" s="240"/>
      <c r="B389" s="318"/>
      <c r="C389" s="240"/>
      <c r="D389" s="241"/>
      <c r="E389" s="270"/>
      <c r="F389" s="271"/>
      <c r="G389" s="239"/>
      <c r="H389" s="239"/>
      <c r="I389" s="239"/>
      <c r="J389" s="239"/>
      <c r="K389" s="239"/>
      <c r="L389" s="239"/>
      <c r="M389" s="239"/>
      <c r="N389" s="239"/>
      <c r="O389" s="239"/>
      <c r="P389" s="239"/>
      <c r="Q389" s="239"/>
      <c r="R389" s="239"/>
      <c r="S389" s="239"/>
      <c r="T389" s="239"/>
      <c r="U389"/>
      <c r="V389"/>
      <c r="W389"/>
      <c r="X389"/>
      <c r="Y389"/>
      <c r="Z389"/>
      <c r="AA389"/>
    </row>
    <row r="390" spans="1:27" hidden="1" x14ac:dyDescent="0.2">
      <c r="A390" s="240"/>
      <c r="B390" s="318"/>
      <c r="C390" s="240"/>
      <c r="D390" s="241"/>
      <c r="E390" s="270"/>
      <c r="F390" s="271"/>
      <c r="G390" s="239"/>
      <c r="H390" s="239"/>
      <c r="I390" s="239"/>
      <c r="J390" s="239"/>
      <c r="K390" s="239"/>
      <c r="L390" s="239"/>
      <c r="M390" s="239"/>
      <c r="N390" s="239"/>
      <c r="O390" s="239"/>
      <c r="P390" s="239"/>
      <c r="Q390" s="239"/>
      <c r="R390" s="239"/>
      <c r="S390" s="239"/>
      <c r="T390" s="239"/>
      <c r="U390"/>
      <c r="V390"/>
      <c r="W390"/>
      <c r="X390"/>
      <c r="Y390"/>
      <c r="Z390"/>
      <c r="AA390"/>
    </row>
    <row r="391" spans="1:27" hidden="1" x14ac:dyDescent="0.2">
      <c r="A391" s="240"/>
      <c r="B391" s="318"/>
      <c r="C391" s="240"/>
      <c r="D391" s="241"/>
      <c r="E391" s="270"/>
      <c r="F391" s="271"/>
      <c r="G391" s="239"/>
      <c r="H391" s="239"/>
      <c r="I391" s="239"/>
      <c r="J391" s="239"/>
      <c r="K391" s="239"/>
      <c r="L391" s="239"/>
      <c r="M391" s="239"/>
      <c r="N391" s="239"/>
      <c r="O391" s="239"/>
      <c r="P391" s="239"/>
      <c r="Q391" s="239"/>
      <c r="R391" s="239"/>
      <c r="S391" s="239"/>
      <c r="T391" s="239"/>
      <c r="U391"/>
      <c r="V391"/>
      <c r="W391"/>
      <c r="X391"/>
      <c r="Y391"/>
      <c r="Z391"/>
      <c r="AA391"/>
    </row>
    <row r="392" spans="1:27" hidden="1" x14ac:dyDescent="0.2">
      <c r="A392" s="240"/>
      <c r="B392" s="318"/>
      <c r="C392" s="240"/>
      <c r="D392" s="241"/>
      <c r="E392" s="270"/>
      <c r="F392" s="271"/>
      <c r="G392" s="239"/>
      <c r="H392" s="239"/>
      <c r="I392" s="239"/>
      <c r="J392" s="239"/>
      <c r="K392" s="239"/>
      <c r="L392" s="239"/>
      <c r="M392" s="239"/>
      <c r="N392" s="239"/>
      <c r="O392" s="239"/>
      <c r="P392" s="239"/>
      <c r="Q392" s="239"/>
      <c r="R392" s="239"/>
      <c r="S392" s="239"/>
      <c r="T392" s="239"/>
      <c r="U392"/>
      <c r="V392"/>
      <c r="W392"/>
      <c r="X392"/>
      <c r="Y392"/>
      <c r="Z392"/>
      <c r="AA392"/>
    </row>
    <row r="393" spans="1:27" hidden="1" x14ac:dyDescent="0.2">
      <c r="A393" s="240"/>
      <c r="B393" s="318"/>
      <c r="C393" s="240"/>
      <c r="D393" s="241"/>
      <c r="E393" s="270"/>
      <c r="F393" s="271"/>
      <c r="G393" s="239"/>
      <c r="H393" s="239"/>
      <c r="I393" s="239"/>
      <c r="J393" s="239"/>
      <c r="K393" s="239"/>
      <c r="L393" s="239"/>
      <c r="M393" s="239"/>
      <c r="N393" s="239"/>
      <c r="O393" s="239"/>
      <c r="P393" s="239"/>
      <c r="Q393" s="239"/>
      <c r="R393" s="239"/>
      <c r="S393" s="239"/>
      <c r="T393" s="239"/>
      <c r="U393"/>
      <c r="V393"/>
      <c r="W393"/>
      <c r="X393"/>
      <c r="Y393"/>
      <c r="Z393"/>
      <c r="AA393"/>
    </row>
    <row r="394" spans="1:27" hidden="1" x14ac:dyDescent="0.2">
      <c r="A394" s="240"/>
      <c r="B394" s="318"/>
      <c r="C394" s="240"/>
      <c r="D394" s="241"/>
      <c r="E394" s="270"/>
      <c r="F394" s="271"/>
      <c r="G394" s="239"/>
      <c r="H394" s="239"/>
      <c r="I394" s="239"/>
      <c r="J394" s="239"/>
      <c r="K394" s="239"/>
      <c r="L394" s="239"/>
      <c r="M394" s="239"/>
      <c r="N394" s="239"/>
      <c r="O394" s="239"/>
      <c r="P394" s="239"/>
      <c r="Q394" s="239"/>
      <c r="R394" s="239"/>
      <c r="S394" s="239"/>
      <c r="T394" s="239"/>
      <c r="U394"/>
      <c r="V394"/>
      <c r="W394"/>
      <c r="X394"/>
      <c r="Y394"/>
      <c r="Z394"/>
      <c r="AA394"/>
    </row>
    <row r="395" spans="1:27" hidden="1" x14ac:dyDescent="0.2">
      <c r="A395" s="240"/>
      <c r="B395" s="318"/>
      <c r="C395" s="240"/>
      <c r="D395" s="241"/>
      <c r="E395" s="270"/>
      <c r="F395" s="271"/>
      <c r="G395" s="239"/>
      <c r="H395" s="239"/>
      <c r="I395" s="239"/>
      <c r="J395" s="239"/>
      <c r="K395" s="239"/>
      <c r="L395" s="239"/>
      <c r="M395" s="239"/>
      <c r="N395" s="239"/>
      <c r="O395" s="239"/>
      <c r="P395" s="239"/>
      <c r="Q395" s="239"/>
      <c r="R395" s="239"/>
      <c r="S395" s="239"/>
      <c r="T395" s="239"/>
      <c r="U395"/>
      <c r="V395"/>
      <c r="W395"/>
      <c r="X395"/>
      <c r="Y395"/>
      <c r="Z395"/>
      <c r="AA395"/>
    </row>
    <row r="396" spans="1:27" hidden="1" x14ac:dyDescent="0.2">
      <c r="A396" s="240"/>
      <c r="B396" s="318"/>
      <c r="C396" s="240"/>
      <c r="D396" s="241"/>
      <c r="E396" s="270"/>
      <c r="F396" s="271"/>
      <c r="G396" s="239"/>
      <c r="H396" s="239"/>
      <c r="I396" s="239"/>
      <c r="J396" s="239"/>
      <c r="K396" s="239"/>
      <c r="L396" s="239"/>
      <c r="M396" s="239"/>
      <c r="N396" s="239"/>
      <c r="O396" s="239"/>
      <c r="P396" s="239"/>
      <c r="Q396" s="239"/>
      <c r="R396" s="239"/>
      <c r="S396" s="239"/>
      <c r="T396" s="239"/>
      <c r="U396"/>
      <c r="V396"/>
      <c r="W396"/>
      <c r="X396"/>
      <c r="Y396"/>
      <c r="Z396"/>
      <c r="AA396"/>
    </row>
    <row r="397" spans="1:27" hidden="1" x14ac:dyDescent="0.2">
      <c r="A397" s="240"/>
      <c r="B397" s="318"/>
      <c r="C397" s="240"/>
      <c r="D397" s="241"/>
      <c r="E397" s="270"/>
      <c r="F397" s="271"/>
      <c r="G397" s="239"/>
      <c r="H397" s="239"/>
      <c r="I397" s="239"/>
      <c r="J397" s="239"/>
      <c r="K397" s="239"/>
      <c r="L397" s="239"/>
      <c r="M397" s="239"/>
      <c r="N397" s="239"/>
      <c r="O397" s="239"/>
      <c r="P397" s="239"/>
      <c r="Q397" s="239"/>
      <c r="R397" s="239"/>
      <c r="S397" s="239"/>
      <c r="T397" s="239"/>
      <c r="U397"/>
      <c r="V397"/>
      <c r="W397"/>
      <c r="X397"/>
      <c r="Y397"/>
      <c r="Z397"/>
      <c r="AA397"/>
    </row>
    <row r="398" spans="1:27" hidden="1" x14ac:dyDescent="0.2">
      <c r="A398" s="240"/>
      <c r="B398" s="318"/>
      <c r="C398" s="240"/>
      <c r="D398" s="241"/>
      <c r="E398" s="270"/>
      <c r="F398" s="271"/>
      <c r="G398" s="239"/>
      <c r="H398" s="239"/>
      <c r="I398" s="239"/>
      <c r="J398" s="239"/>
      <c r="K398" s="239"/>
      <c r="L398" s="239"/>
      <c r="M398" s="239"/>
      <c r="N398" s="239"/>
      <c r="O398" s="239"/>
      <c r="P398" s="239"/>
      <c r="Q398" s="239"/>
      <c r="R398" s="239"/>
      <c r="S398" s="239"/>
      <c r="T398" s="239"/>
      <c r="U398"/>
      <c r="V398"/>
      <c r="W398"/>
      <c r="X398"/>
      <c r="Y398"/>
      <c r="Z398"/>
      <c r="AA398"/>
    </row>
    <row r="399" spans="1:27" hidden="1" x14ac:dyDescent="0.2">
      <c r="A399" s="240"/>
      <c r="B399" s="318"/>
      <c r="C399" s="240"/>
      <c r="D399" s="241"/>
      <c r="E399" s="270"/>
      <c r="F399" s="271"/>
      <c r="G399" s="239"/>
      <c r="H399" s="239"/>
      <c r="I399" s="239"/>
      <c r="J399" s="239"/>
      <c r="K399" s="239"/>
      <c r="L399" s="239"/>
      <c r="M399" s="239"/>
      <c r="N399" s="239"/>
      <c r="O399" s="239"/>
      <c r="P399" s="239"/>
      <c r="Q399" s="239"/>
      <c r="R399" s="239"/>
      <c r="S399" s="239"/>
      <c r="T399" s="239"/>
      <c r="U399"/>
      <c r="V399"/>
      <c r="W399"/>
      <c r="X399"/>
      <c r="Y399"/>
      <c r="Z399"/>
      <c r="AA399"/>
    </row>
    <row r="400" spans="1:27" hidden="1" x14ac:dyDescent="0.2">
      <c r="A400" s="240"/>
      <c r="B400" s="318"/>
      <c r="C400" s="240"/>
      <c r="D400" s="241"/>
      <c r="E400" s="270"/>
      <c r="F400" s="271"/>
      <c r="G400" s="239"/>
      <c r="H400" s="239"/>
      <c r="I400" s="239"/>
      <c r="J400" s="239"/>
      <c r="K400" s="239"/>
      <c r="L400" s="239"/>
      <c r="M400" s="239"/>
      <c r="N400" s="239"/>
      <c r="O400" s="239"/>
      <c r="P400" s="239"/>
      <c r="Q400" s="239"/>
      <c r="R400" s="239"/>
      <c r="S400" s="239"/>
      <c r="T400" s="239"/>
      <c r="U400"/>
      <c r="V400"/>
      <c r="W400"/>
      <c r="X400"/>
      <c r="Y400"/>
      <c r="Z400"/>
      <c r="AA400"/>
    </row>
    <row r="401" spans="1:27" hidden="1" x14ac:dyDescent="0.2">
      <c r="A401" s="240"/>
      <c r="B401" s="318"/>
      <c r="C401" s="240"/>
      <c r="D401" s="241"/>
      <c r="E401" s="270"/>
      <c r="F401" s="271"/>
      <c r="G401" s="239"/>
      <c r="H401" s="239"/>
      <c r="I401" s="239"/>
      <c r="J401" s="239"/>
      <c r="K401" s="239"/>
      <c r="L401" s="239"/>
      <c r="M401" s="239"/>
      <c r="N401" s="239"/>
      <c r="O401" s="239"/>
      <c r="P401" s="239"/>
      <c r="Q401" s="239"/>
      <c r="R401" s="239"/>
      <c r="S401" s="239"/>
      <c r="T401" s="239"/>
      <c r="U401"/>
      <c r="V401"/>
      <c r="W401"/>
      <c r="X401"/>
      <c r="Y401"/>
      <c r="Z401"/>
      <c r="AA401"/>
    </row>
    <row r="402" spans="1:27" hidden="1" x14ac:dyDescent="0.2">
      <c r="A402" s="240"/>
      <c r="B402" s="318"/>
      <c r="C402" s="240"/>
      <c r="D402" s="241"/>
      <c r="E402" s="270"/>
      <c r="F402" s="271"/>
      <c r="G402" s="239"/>
      <c r="H402" s="239"/>
      <c r="I402" s="239"/>
      <c r="J402" s="239"/>
      <c r="K402" s="239"/>
      <c r="L402" s="239"/>
      <c r="M402" s="239"/>
      <c r="N402" s="239"/>
      <c r="O402" s="239"/>
      <c r="P402" s="239"/>
      <c r="Q402" s="239"/>
      <c r="R402" s="239"/>
      <c r="S402" s="239"/>
      <c r="T402" s="239"/>
      <c r="U402"/>
      <c r="V402"/>
      <c r="W402"/>
      <c r="X402"/>
      <c r="Y402"/>
      <c r="Z402"/>
      <c r="AA402"/>
    </row>
    <row r="403" spans="1:27" hidden="1" x14ac:dyDescent="0.2">
      <c r="A403" s="240"/>
      <c r="B403" s="318"/>
      <c r="C403" s="240"/>
      <c r="D403" s="241"/>
      <c r="E403" s="270"/>
      <c r="F403" s="271"/>
      <c r="G403" s="239"/>
      <c r="H403" s="239"/>
      <c r="I403" s="239"/>
      <c r="J403" s="239"/>
      <c r="K403" s="239"/>
      <c r="L403" s="239"/>
      <c r="M403" s="239"/>
      <c r="N403" s="239"/>
      <c r="O403" s="239"/>
      <c r="P403" s="239"/>
      <c r="Q403" s="239"/>
      <c r="R403" s="239"/>
      <c r="S403" s="239"/>
      <c r="T403" s="239"/>
      <c r="U403"/>
      <c r="V403"/>
      <c r="W403"/>
      <c r="X403"/>
      <c r="Y403"/>
      <c r="Z403"/>
      <c r="AA403"/>
    </row>
    <row r="404" spans="1:27" hidden="1" x14ac:dyDescent="0.2">
      <c r="A404" s="240"/>
      <c r="B404" s="318"/>
      <c r="C404" s="240"/>
      <c r="D404" s="241"/>
      <c r="E404" s="270"/>
      <c r="F404" s="271"/>
      <c r="G404" s="239"/>
      <c r="H404" s="239"/>
      <c r="I404" s="239"/>
      <c r="J404" s="239"/>
      <c r="K404" s="239"/>
      <c r="L404" s="239"/>
      <c r="M404" s="239"/>
      <c r="N404" s="239"/>
      <c r="O404" s="239"/>
      <c r="P404" s="239"/>
      <c r="Q404" s="239"/>
      <c r="R404" s="239"/>
      <c r="S404" s="239"/>
      <c r="T404" s="239"/>
      <c r="U404"/>
      <c r="V404"/>
      <c r="W404"/>
      <c r="X404"/>
      <c r="Y404"/>
      <c r="Z404"/>
      <c r="AA404"/>
    </row>
    <row r="405" spans="1:27" hidden="1" x14ac:dyDescent="0.2">
      <c r="A405" s="240"/>
      <c r="B405" s="318"/>
      <c r="C405" s="240"/>
      <c r="D405" s="241"/>
      <c r="E405" s="270"/>
      <c r="F405" s="271"/>
      <c r="G405" s="239"/>
      <c r="H405" s="239"/>
      <c r="I405" s="239"/>
      <c r="J405" s="239"/>
      <c r="K405" s="239"/>
      <c r="L405" s="239"/>
      <c r="M405" s="239"/>
      <c r="N405" s="239"/>
      <c r="O405" s="239"/>
      <c r="P405" s="239"/>
      <c r="Q405" s="239"/>
      <c r="R405" s="239"/>
      <c r="S405" s="239"/>
      <c r="T405" s="239"/>
      <c r="U405"/>
      <c r="V405"/>
      <c r="W405"/>
      <c r="X405"/>
      <c r="Y405"/>
      <c r="Z405"/>
      <c r="AA405"/>
    </row>
    <row r="406" spans="1:27" hidden="1" x14ac:dyDescent="0.2">
      <c r="A406" s="240"/>
      <c r="B406" s="318"/>
      <c r="C406" s="240"/>
      <c r="D406" s="241"/>
      <c r="E406" s="270"/>
      <c r="F406" s="271"/>
      <c r="G406" s="239"/>
      <c r="H406" s="239"/>
      <c r="I406" s="239"/>
      <c r="J406" s="239"/>
      <c r="K406" s="239"/>
      <c r="L406" s="239"/>
      <c r="M406" s="239"/>
      <c r="N406" s="239"/>
      <c r="O406" s="239"/>
      <c r="P406" s="239"/>
      <c r="Q406" s="239"/>
      <c r="R406" s="239"/>
      <c r="S406" s="239"/>
      <c r="T406" s="239"/>
      <c r="U406"/>
      <c r="V406"/>
      <c r="W406"/>
      <c r="X406"/>
      <c r="Y406"/>
      <c r="Z406"/>
      <c r="AA406"/>
    </row>
    <row r="407" spans="1:27" hidden="1" x14ac:dyDescent="0.2">
      <c r="A407" s="240"/>
      <c r="B407" s="318"/>
      <c r="C407" s="240"/>
      <c r="D407" s="241"/>
      <c r="E407" s="270"/>
      <c r="F407" s="271"/>
      <c r="G407" s="239"/>
      <c r="H407" s="239"/>
      <c r="I407" s="239"/>
      <c r="J407" s="239"/>
      <c r="K407" s="239"/>
      <c r="L407" s="239"/>
      <c r="M407" s="239"/>
      <c r="N407" s="239"/>
      <c r="O407" s="239"/>
      <c r="P407" s="239"/>
      <c r="Q407" s="239"/>
      <c r="R407" s="239"/>
      <c r="S407" s="239"/>
      <c r="T407" s="239"/>
      <c r="U407"/>
      <c r="V407"/>
      <c r="W407"/>
      <c r="X407"/>
      <c r="Y407"/>
      <c r="Z407"/>
      <c r="AA407"/>
    </row>
    <row r="408" spans="1:27" hidden="1" x14ac:dyDescent="0.2">
      <c r="A408" s="240"/>
      <c r="B408" s="318"/>
      <c r="C408" s="240"/>
      <c r="D408" s="241"/>
      <c r="E408" s="270"/>
      <c r="F408" s="271"/>
      <c r="G408" s="239"/>
      <c r="H408" s="239"/>
      <c r="I408" s="239"/>
      <c r="J408" s="239"/>
      <c r="K408" s="239"/>
      <c r="L408" s="239"/>
      <c r="M408" s="239"/>
      <c r="N408" s="239"/>
      <c r="O408" s="239"/>
      <c r="P408" s="239"/>
      <c r="Q408" s="239"/>
      <c r="R408" s="239"/>
      <c r="S408" s="239"/>
      <c r="T408" s="239"/>
      <c r="U408"/>
      <c r="V408"/>
      <c r="W408"/>
      <c r="X408"/>
      <c r="Y408"/>
      <c r="Z408"/>
      <c r="AA408"/>
    </row>
    <row r="409" spans="1:27" hidden="1" x14ac:dyDescent="0.2">
      <c r="A409" s="240"/>
      <c r="B409" s="318"/>
      <c r="C409" s="240"/>
      <c r="D409" s="241"/>
      <c r="E409" s="270"/>
      <c r="F409" s="271"/>
      <c r="G409" s="239"/>
      <c r="H409" s="239"/>
      <c r="I409" s="239"/>
      <c r="J409" s="239"/>
      <c r="K409" s="239"/>
      <c r="L409" s="239"/>
      <c r="M409" s="239"/>
      <c r="N409" s="239"/>
      <c r="O409" s="239"/>
      <c r="P409" s="239"/>
      <c r="Q409" s="239"/>
      <c r="R409" s="239"/>
      <c r="S409" s="239"/>
      <c r="T409" s="239"/>
      <c r="U409"/>
      <c r="V409"/>
      <c r="W409"/>
      <c r="X409"/>
      <c r="Y409"/>
      <c r="Z409"/>
      <c r="AA409"/>
    </row>
    <row r="410" spans="1:27" hidden="1" x14ac:dyDescent="0.2">
      <c r="A410" s="240"/>
      <c r="B410" s="318"/>
      <c r="C410" s="240"/>
      <c r="D410" s="241"/>
      <c r="E410" s="270"/>
      <c r="F410" s="271"/>
      <c r="G410" s="239"/>
      <c r="H410" s="239"/>
      <c r="I410" s="239"/>
      <c r="J410" s="239"/>
      <c r="K410" s="239"/>
      <c r="L410" s="239"/>
      <c r="M410" s="239"/>
      <c r="N410" s="239"/>
      <c r="O410" s="239"/>
      <c r="P410" s="239"/>
      <c r="Q410" s="239"/>
      <c r="R410" s="239"/>
      <c r="S410" s="239"/>
      <c r="T410" s="239"/>
      <c r="U410"/>
      <c r="V410"/>
      <c r="W410"/>
      <c r="X410"/>
      <c r="Y410"/>
      <c r="Z410"/>
      <c r="AA410"/>
    </row>
    <row r="411" spans="1:27" hidden="1" x14ac:dyDescent="0.2">
      <c r="A411" s="240"/>
      <c r="B411" s="318"/>
      <c r="C411" s="240"/>
      <c r="D411" s="241"/>
      <c r="E411" s="270"/>
      <c r="F411" s="271"/>
      <c r="G411" s="239"/>
      <c r="H411" s="239"/>
      <c r="I411" s="239"/>
      <c r="J411" s="239"/>
      <c r="K411" s="239"/>
      <c r="L411" s="239"/>
      <c r="M411" s="239"/>
      <c r="N411" s="239"/>
      <c r="O411" s="239"/>
      <c r="P411" s="239"/>
      <c r="Q411" s="239"/>
      <c r="R411" s="239"/>
      <c r="S411" s="239"/>
      <c r="T411" s="239"/>
      <c r="U411"/>
      <c r="V411"/>
      <c r="W411"/>
      <c r="X411"/>
      <c r="Y411"/>
      <c r="Z411"/>
      <c r="AA411"/>
    </row>
    <row r="412" spans="1:27" hidden="1" x14ac:dyDescent="0.2">
      <c r="A412" s="240"/>
      <c r="B412" s="318"/>
      <c r="C412" s="240"/>
      <c r="D412" s="241"/>
      <c r="E412" s="270"/>
      <c r="F412" s="271"/>
      <c r="G412" s="239"/>
      <c r="H412" s="239"/>
      <c r="I412" s="239"/>
      <c r="J412" s="239"/>
      <c r="K412" s="239"/>
      <c r="L412" s="239"/>
      <c r="M412" s="239"/>
      <c r="N412" s="239"/>
      <c r="O412" s="239"/>
      <c r="P412" s="239"/>
      <c r="Q412" s="239"/>
      <c r="R412" s="239"/>
      <c r="S412" s="239"/>
      <c r="T412" s="239"/>
      <c r="U412"/>
      <c r="V412"/>
      <c r="W412"/>
      <c r="X412"/>
      <c r="Y412"/>
      <c r="Z412"/>
      <c r="AA412"/>
    </row>
    <row r="413" spans="1:27" hidden="1" x14ac:dyDescent="0.2">
      <c r="A413" s="240"/>
      <c r="B413" s="318"/>
      <c r="C413" s="240"/>
      <c r="D413" s="241"/>
      <c r="E413" s="270"/>
      <c r="F413" s="271"/>
      <c r="G413" s="239"/>
      <c r="H413" s="239"/>
      <c r="I413" s="239"/>
      <c r="J413" s="239"/>
      <c r="K413" s="239"/>
      <c r="L413" s="239"/>
      <c r="M413" s="239"/>
      <c r="N413" s="239"/>
      <c r="O413" s="239"/>
      <c r="P413" s="239"/>
      <c r="Q413" s="239"/>
      <c r="R413" s="239"/>
      <c r="S413" s="239"/>
      <c r="T413" s="239"/>
      <c r="U413"/>
      <c r="V413"/>
      <c r="W413"/>
      <c r="X413"/>
      <c r="Y413"/>
      <c r="Z413"/>
      <c r="AA413"/>
    </row>
    <row r="414" spans="1:27" hidden="1" x14ac:dyDescent="0.2">
      <c r="A414" s="240"/>
      <c r="B414" s="318"/>
      <c r="C414" s="240"/>
      <c r="D414" s="241"/>
      <c r="E414" s="270"/>
      <c r="F414" s="271"/>
      <c r="G414" s="239"/>
      <c r="H414" s="239"/>
      <c r="I414" s="239"/>
      <c r="J414" s="239"/>
      <c r="K414" s="239"/>
      <c r="L414" s="239"/>
      <c r="M414" s="239"/>
      <c r="N414" s="239"/>
      <c r="O414" s="239"/>
      <c r="P414" s="239"/>
      <c r="Q414" s="239"/>
      <c r="R414" s="239"/>
      <c r="S414" s="239"/>
      <c r="T414" s="239"/>
      <c r="U414"/>
      <c r="V414"/>
      <c r="W414"/>
      <c r="X414"/>
      <c r="Y414"/>
      <c r="Z414"/>
      <c r="AA414"/>
    </row>
    <row r="415" spans="1:27" hidden="1" x14ac:dyDescent="0.2">
      <c r="A415" s="240"/>
      <c r="B415" s="318"/>
      <c r="C415" s="240"/>
      <c r="D415" s="241"/>
      <c r="E415" s="270"/>
      <c r="F415" s="271"/>
      <c r="G415" s="239"/>
      <c r="H415" s="239"/>
      <c r="I415" s="239"/>
      <c r="J415" s="239"/>
      <c r="K415" s="239"/>
      <c r="L415" s="239"/>
      <c r="M415" s="239"/>
      <c r="N415" s="239"/>
      <c r="O415" s="239"/>
      <c r="P415" s="239"/>
      <c r="Q415" s="239"/>
      <c r="R415" s="239"/>
      <c r="S415" s="239"/>
      <c r="T415" s="239"/>
      <c r="U415"/>
      <c r="V415"/>
      <c r="W415"/>
      <c r="X415"/>
      <c r="Y415"/>
      <c r="Z415"/>
      <c r="AA415"/>
    </row>
    <row r="416" spans="1:27" hidden="1" x14ac:dyDescent="0.2">
      <c r="A416" s="240"/>
      <c r="B416" s="318"/>
      <c r="C416" s="240"/>
      <c r="D416" s="241"/>
      <c r="E416" s="270"/>
      <c r="F416" s="271"/>
      <c r="G416" s="239"/>
      <c r="H416" s="239"/>
      <c r="I416" s="239"/>
      <c r="J416" s="239"/>
      <c r="K416" s="239"/>
      <c r="L416" s="239"/>
      <c r="M416" s="239"/>
      <c r="N416" s="239"/>
      <c r="O416" s="239"/>
      <c r="P416" s="239"/>
      <c r="Q416" s="239"/>
      <c r="R416" s="239"/>
      <c r="S416" s="239"/>
      <c r="T416" s="239"/>
      <c r="U416"/>
      <c r="V416"/>
      <c r="W416"/>
      <c r="X416"/>
      <c r="Y416"/>
      <c r="Z416"/>
      <c r="AA416"/>
    </row>
    <row r="417" spans="1:27" hidden="1" x14ac:dyDescent="0.2">
      <c r="A417" s="240"/>
      <c r="B417" s="318"/>
      <c r="C417" s="240"/>
      <c r="D417" s="241"/>
      <c r="E417" s="270"/>
      <c r="F417" s="271"/>
      <c r="G417" s="239"/>
      <c r="H417" s="239"/>
      <c r="I417" s="239"/>
      <c r="J417" s="239"/>
      <c r="K417" s="239"/>
      <c r="L417" s="239"/>
      <c r="M417" s="239"/>
      <c r="N417" s="239"/>
      <c r="O417" s="239"/>
      <c r="P417" s="239"/>
      <c r="Q417" s="239"/>
      <c r="R417" s="239"/>
      <c r="S417" s="239"/>
      <c r="T417" s="239"/>
      <c r="U417"/>
      <c r="V417"/>
      <c r="W417"/>
      <c r="X417"/>
      <c r="Y417"/>
      <c r="Z417"/>
      <c r="AA417"/>
    </row>
    <row r="418" spans="1:27" hidden="1" x14ac:dyDescent="0.2">
      <c r="A418" s="240"/>
      <c r="B418" s="318"/>
      <c r="C418" s="240"/>
      <c r="D418" s="241"/>
      <c r="E418" s="270"/>
      <c r="F418" s="271"/>
      <c r="G418" s="239"/>
      <c r="H418" s="239"/>
      <c r="I418" s="239"/>
      <c r="J418" s="239"/>
      <c r="K418" s="239"/>
      <c r="L418" s="239"/>
      <c r="M418" s="239"/>
      <c r="N418" s="239"/>
      <c r="O418" s="239"/>
      <c r="P418" s="239"/>
      <c r="Q418" s="239"/>
      <c r="R418" s="239"/>
      <c r="S418" s="239"/>
      <c r="T418" s="239"/>
      <c r="U418"/>
      <c r="V418"/>
      <c r="W418"/>
      <c r="X418"/>
      <c r="Y418"/>
      <c r="Z418"/>
      <c r="AA418"/>
    </row>
    <row r="419" spans="1:27" hidden="1" x14ac:dyDescent="0.2">
      <c r="A419" s="240"/>
      <c r="B419" s="318"/>
      <c r="C419" s="240"/>
      <c r="D419" s="241"/>
      <c r="E419" s="270"/>
      <c r="F419" s="271"/>
      <c r="G419" s="239"/>
      <c r="H419" s="239"/>
      <c r="I419" s="239"/>
      <c r="J419" s="239"/>
      <c r="K419" s="239"/>
      <c r="L419" s="239"/>
      <c r="M419" s="239"/>
      <c r="N419" s="239"/>
      <c r="O419" s="239"/>
      <c r="P419" s="239"/>
      <c r="Q419" s="239"/>
      <c r="R419" s="239"/>
      <c r="S419" s="239"/>
      <c r="T419" s="239"/>
      <c r="U419"/>
      <c r="V419"/>
      <c r="W419"/>
      <c r="X419"/>
      <c r="Y419"/>
      <c r="Z419"/>
      <c r="AA419"/>
    </row>
    <row r="420" spans="1:27" hidden="1" x14ac:dyDescent="0.2">
      <c r="A420" s="240"/>
      <c r="B420" s="318"/>
      <c r="C420" s="240"/>
      <c r="D420" s="241"/>
      <c r="E420" s="270"/>
      <c r="F420" s="271"/>
      <c r="G420" s="239"/>
      <c r="H420" s="239"/>
      <c r="I420" s="239"/>
      <c r="J420" s="239"/>
      <c r="K420" s="239"/>
      <c r="L420" s="239"/>
      <c r="M420" s="239"/>
      <c r="N420" s="239"/>
      <c r="O420" s="239"/>
      <c r="P420" s="239"/>
      <c r="Q420" s="239"/>
      <c r="R420" s="239"/>
      <c r="S420" s="239"/>
      <c r="T420" s="239"/>
      <c r="U420"/>
      <c r="V420"/>
      <c r="W420"/>
      <c r="X420"/>
      <c r="Y420"/>
      <c r="Z420"/>
      <c r="AA420"/>
    </row>
    <row r="421" spans="1:27" hidden="1" x14ac:dyDescent="0.2">
      <c r="A421" s="240"/>
      <c r="B421" s="318"/>
      <c r="C421" s="240"/>
      <c r="D421" s="241"/>
      <c r="E421" s="270"/>
      <c r="F421" s="271"/>
      <c r="G421" s="239"/>
      <c r="H421" s="239"/>
      <c r="I421" s="239"/>
      <c r="J421" s="239"/>
      <c r="K421" s="239"/>
      <c r="L421" s="239"/>
      <c r="M421" s="239"/>
      <c r="N421" s="239"/>
      <c r="O421" s="239"/>
      <c r="P421" s="239"/>
      <c r="Q421" s="239"/>
      <c r="R421" s="239"/>
      <c r="S421" s="239"/>
      <c r="T421" s="239"/>
      <c r="U421"/>
      <c r="V421"/>
      <c r="W421"/>
      <c r="X421"/>
      <c r="Y421"/>
      <c r="Z421"/>
      <c r="AA421"/>
    </row>
    <row r="422" spans="1:27" hidden="1" x14ac:dyDescent="0.2">
      <c r="A422" s="240"/>
      <c r="B422" s="318"/>
      <c r="C422" s="240"/>
      <c r="D422" s="241"/>
      <c r="E422" s="270"/>
      <c r="F422" s="271"/>
      <c r="G422" s="239"/>
      <c r="H422" s="239"/>
      <c r="I422" s="239"/>
      <c r="J422" s="239"/>
      <c r="K422" s="239"/>
      <c r="L422" s="239"/>
      <c r="M422" s="239"/>
      <c r="N422" s="239"/>
      <c r="O422" s="239"/>
      <c r="P422" s="239"/>
      <c r="Q422" s="239"/>
      <c r="R422" s="239"/>
      <c r="S422" s="239"/>
      <c r="T422" s="239"/>
      <c r="U422"/>
      <c r="V422"/>
      <c r="W422"/>
      <c r="X422"/>
      <c r="Y422"/>
      <c r="Z422"/>
      <c r="AA422"/>
    </row>
    <row r="423" spans="1:27" hidden="1" x14ac:dyDescent="0.2">
      <c r="A423" s="240"/>
      <c r="B423" s="318"/>
      <c r="C423" s="240"/>
      <c r="D423" s="241"/>
      <c r="E423" s="270"/>
      <c r="F423" s="271"/>
      <c r="G423" s="239"/>
      <c r="H423" s="239"/>
      <c r="I423" s="239"/>
      <c r="J423" s="239"/>
      <c r="K423" s="239"/>
      <c r="L423" s="239"/>
      <c r="M423" s="239"/>
      <c r="N423" s="239"/>
      <c r="O423" s="239"/>
      <c r="P423" s="239"/>
      <c r="Q423" s="239"/>
      <c r="R423" s="239"/>
      <c r="S423" s="239"/>
      <c r="T423" s="239"/>
      <c r="U423"/>
      <c r="V423"/>
      <c r="W423"/>
      <c r="X423"/>
      <c r="Y423"/>
      <c r="Z423"/>
      <c r="AA423"/>
    </row>
    <row r="424" spans="1:27" hidden="1" x14ac:dyDescent="0.2">
      <c r="A424" s="240"/>
      <c r="B424" s="318"/>
      <c r="C424" s="240"/>
      <c r="D424" s="241"/>
      <c r="E424" s="270"/>
      <c r="F424" s="271"/>
      <c r="G424" s="239"/>
      <c r="H424" s="239"/>
      <c r="I424" s="239"/>
      <c r="J424" s="239"/>
      <c r="K424" s="239"/>
      <c r="L424" s="239"/>
      <c r="M424" s="239"/>
      <c r="N424" s="239"/>
      <c r="O424" s="239"/>
      <c r="P424" s="239"/>
      <c r="Q424" s="239"/>
      <c r="R424" s="239"/>
      <c r="S424" s="239"/>
      <c r="T424" s="239"/>
      <c r="U424"/>
      <c r="V424"/>
      <c r="W424"/>
      <c r="X424"/>
      <c r="Y424"/>
      <c r="Z424"/>
      <c r="AA424"/>
    </row>
    <row r="425" spans="1:27" hidden="1" x14ac:dyDescent="0.2">
      <c r="A425" s="240"/>
      <c r="B425" s="318"/>
      <c r="C425" s="240"/>
      <c r="D425" s="241"/>
      <c r="E425" s="270"/>
      <c r="F425" s="271"/>
      <c r="G425" s="239"/>
      <c r="H425" s="239"/>
      <c r="I425" s="239"/>
      <c r="J425" s="239"/>
      <c r="K425" s="239"/>
      <c r="L425" s="239"/>
      <c r="M425" s="239"/>
      <c r="N425" s="239"/>
      <c r="O425" s="239"/>
      <c r="P425" s="239"/>
      <c r="Q425" s="239"/>
      <c r="R425" s="239"/>
      <c r="S425" s="239"/>
      <c r="T425" s="239"/>
      <c r="U425"/>
      <c r="V425"/>
      <c r="W425"/>
      <c r="X425"/>
      <c r="Y425"/>
      <c r="Z425"/>
      <c r="AA425"/>
    </row>
    <row r="426" spans="1:27" hidden="1" x14ac:dyDescent="0.2">
      <c r="A426" s="240"/>
      <c r="B426" s="318"/>
      <c r="C426" s="240"/>
      <c r="D426" s="241"/>
      <c r="E426" s="270"/>
      <c r="F426" s="271"/>
      <c r="G426" s="239"/>
      <c r="H426" s="239"/>
      <c r="I426" s="239"/>
      <c r="J426" s="239"/>
      <c r="K426" s="239"/>
      <c r="L426" s="239"/>
      <c r="M426" s="239"/>
      <c r="N426" s="239"/>
      <c r="O426" s="239"/>
      <c r="P426" s="239"/>
      <c r="Q426" s="239"/>
      <c r="R426" s="239"/>
      <c r="S426" s="239"/>
      <c r="T426" s="239"/>
      <c r="U426"/>
      <c r="V426"/>
      <c r="W426"/>
      <c r="X426"/>
      <c r="Y426"/>
      <c r="Z426"/>
      <c r="AA426"/>
    </row>
    <row r="427" spans="1:27" hidden="1" x14ac:dyDescent="0.2">
      <c r="A427" s="240"/>
      <c r="B427" s="318"/>
      <c r="C427" s="240"/>
      <c r="D427" s="241"/>
      <c r="E427" s="270"/>
      <c r="F427" s="271"/>
      <c r="G427" s="239"/>
      <c r="H427" s="239"/>
      <c r="I427" s="239"/>
      <c r="J427" s="239"/>
      <c r="K427" s="239"/>
      <c r="L427" s="239"/>
      <c r="M427" s="239"/>
      <c r="N427" s="239"/>
      <c r="O427" s="239"/>
      <c r="P427" s="239"/>
      <c r="Q427" s="239"/>
      <c r="R427" s="239"/>
      <c r="S427" s="239"/>
      <c r="T427" s="239"/>
      <c r="U427"/>
      <c r="V427"/>
      <c r="W427"/>
      <c r="X427"/>
      <c r="Y427"/>
      <c r="Z427"/>
      <c r="AA427"/>
    </row>
    <row r="428" spans="1:27" hidden="1" x14ac:dyDescent="0.2">
      <c r="A428" s="240"/>
      <c r="B428" s="318"/>
      <c r="C428" s="240"/>
      <c r="D428" s="241"/>
      <c r="E428" s="270"/>
      <c r="F428" s="271"/>
      <c r="G428" s="239"/>
      <c r="H428" s="239"/>
      <c r="I428" s="239"/>
      <c r="J428" s="239"/>
      <c r="K428" s="239"/>
      <c r="L428" s="239"/>
      <c r="M428" s="239"/>
      <c r="N428" s="239"/>
      <c r="O428" s="239"/>
      <c r="P428" s="239"/>
      <c r="Q428" s="239"/>
      <c r="R428" s="239"/>
      <c r="S428" s="239"/>
      <c r="T428" s="239"/>
      <c r="U428"/>
      <c r="V428"/>
      <c r="W428"/>
      <c r="X428"/>
      <c r="Y428"/>
      <c r="Z428"/>
      <c r="AA428"/>
    </row>
    <row r="429" spans="1:27" hidden="1" x14ac:dyDescent="0.2">
      <c r="A429" s="240"/>
      <c r="B429" s="318"/>
      <c r="C429" s="240"/>
      <c r="D429" s="241"/>
      <c r="E429" s="270"/>
      <c r="F429" s="271"/>
      <c r="G429" s="239"/>
      <c r="H429" s="239"/>
      <c r="I429" s="239"/>
      <c r="J429" s="239"/>
      <c r="K429" s="239"/>
      <c r="L429" s="239"/>
      <c r="M429" s="239"/>
      <c r="N429" s="239"/>
      <c r="O429" s="239"/>
      <c r="P429" s="239"/>
      <c r="Q429" s="239"/>
      <c r="R429" s="239"/>
      <c r="S429" s="239"/>
      <c r="T429" s="239"/>
      <c r="U429"/>
      <c r="V429"/>
      <c r="W429"/>
      <c r="X429"/>
      <c r="Y429"/>
      <c r="Z429"/>
      <c r="AA429"/>
    </row>
    <row r="430" spans="1:27" hidden="1" x14ac:dyDescent="0.2">
      <c r="A430" s="240"/>
      <c r="B430" s="318"/>
      <c r="C430" s="240"/>
      <c r="D430" s="241"/>
      <c r="E430" s="270"/>
      <c r="F430" s="271"/>
      <c r="G430" s="239"/>
      <c r="H430" s="239"/>
      <c r="I430" s="239"/>
      <c r="J430" s="239"/>
      <c r="K430" s="239"/>
      <c r="L430" s="239"/>
      <c r="M430" s="239"/>
      <c r="N430" s="239"/>
      <c r="O430" s="239"/>
      <c r="P430" s="239"/>
      <c r="Q430" s="239"/>
      <c r="R430" s="239"/>
      <c r="S430" s="239"/>
      <c r="T430" s="239"/>
      <c r="U430"/>
      <c r="V430"/>
      <c r="W430"/>
      <c r="X430"/>
      <c r="Y430"/>
      <c r="Z430"/>
      <c r="AA430"/>
    </row>
    <row r="431" spans="1:27" hidden="1" x14ac:dyDescent="0.2">
      <c r="A431" s="240"/>
      <c r="B431" s="318"/>
      <c r="C431" s="240"/>
      <c r="D431" s="241"/>
      <c r="E431" s="270"/>
      <c r="F431" s="271"/>
      <c r="G431" s="239"/>
      <c r="H431" s="239"/>
      <c r="I431" s="239"/>
      <c r="J431" s="239"/>
      <c r="K431" s="239"/>
      <c r="L431" s="239"/>
      <c r="M431" s="239"/>
      <c r="N431" s="239"/>
      <c r="O431" s="239"/>
      <c r="P431" s="239"/>
      <c r="Q431" s="239"/>
      <c r="R431" s="239"/>
      <c r="S431" s="239"/>
      <c r="T431" s="239"/>
      <c r="U431"/>
      <c r="V431"/>
      <c r="W431"/>
      <c r="X431"/>
      <c r="Y431"/>
      <c r="Z431"/>
      <c r="AA431"/>
    </row>
    <row r="432" spans="1:27" hidden="1" x14ac:dyDescent="0.2">
      <c r="A432" s="240"/>
      <c r="B432" s="318"/>
      <c r="C432" s="240"/>
      <c r="D432" s="241"/>
      <c r="E432" s="270"/>
      <c r="F432" s="271"/>
      <c r="G432" s="239"/>
      <c r="H432" s="239"/>
      <c r="I432" s="239"/>
      <c r="J432" s="239"/>
      <c r="K432" s="239"/>
      <c r="L432" s="239"/>
      <c r="M432" s="239"/>
      <c r="N432" s="239"/>
      <c r="O432" s="239"/>
      <c r="P432" s="239"/>
      <c r="Q432" s="239"/>
      <c r="R432" s="239"/>
      <c r="S432" s="239"/>
      <c r="T432" s="239"/>
      <c r="U432"/>
      <c r="V432"/>
      <c r="W432"/>
      <c r="X432"/>
      <c r="Y432"/>
      <c r="Z432"/>
      <c r="AA432"/>
    </row>
    <row r="433" spans="1:27" hidden="1" x14ac:dyDescent="0.2">
      <c r="A433" s="240"/>
      <c r="B433" s="318"/>
      <c r="C433" s="240"/>
      <c r="D433" s="241"/>
      <c r="E433" s="270"/>
      <c r="F433" s="271"/>
      <c r="G433" s="239"/>
      <c r="H433" s="239"/>
      <c r="I433" s="239"/>
      <c r="J433" s="239"/>
      <c r="K433" s="239"/>
      <c r="L433" s="239"/>
      <c r="M433" s="239"/>
      <c r="N433" s="239"/>
      <c r="O433" s="239"/>
      <c r="P433" s="239"/>
      <c r="Q433" s="239"/>
      <c r="R433" s="239"/>
      <c r="S433" s="239"/>
      <c r="T433" s="239"/>
      <c r="U433"/>
      <c r="V433"/>
      <c r="W433"/>
      <c r="X433"/>
      <c r="Y433"/>
      <c r="Z433"/>
      <c r="AA433"/>
    </row>
    <row r="434" spans="1:27" hidden="1" x14ac:dyDescent="0.2">
      <c r="A434" s="240"/>
      <c r="B434" s="318"/>
      <c r="C434" s="240"/>
      <c r="D434" s="241"/>
      <c r="E434" s="270"/>
      <c r="F434" s="271"/>
      <c r="G434" s="239"/>
      <c r="H434" s="239"/>
      <c r="I434" s="239"/>
      <c r="J434" s="239"/>
      <c r="K434" s="239"/>
      <c r="L434" s="239"/>
      <c r="M434" s="239"/>
      <c r="N434" s="239"/>
      <c r="O434" s="239"/>
      <c r="P434" s="239"/>
      <c r="Q434" s="239"/>
      <c r="R434" s="239"/>
      <c r="S434" s="239"/>
      <c r="T434" s="239"/>
      <c r="U434"/>
      <c r="V434"/>
      <c r="W434"/>
      <c r="X434"/>
      <c r="Y434"/>
      <c r="Z434"/>
      <c r="AA434"/>
    </row>
    <row r="435" spans="1:27" hidden="1" x14ac:dyDescent="0.2">
      <c r="A435" s="240"/>
      <c r="B435" s="318"/>
      <c r="C435" s="240"/>
      <c r="D435" s="241"/>
      <c r="E435" s="270"/>
      <c r="F435" s="271"/>
      <c r="G435" s="239"/>
      <c r="H435" s="239"/>
      <c r="I435" s="239"/>
      <c r="J435" s="239"/>
      <c r="K435" s="239"/>
      <c r="L435" s="239"/>
      <c r="M435" s="239"/>
      <c r="N435" s="239"/>
      <c r="O435" s="239"/>
      <c r="P435" s="239"/>
      <c r="Q435" s="239"/>
      <c r="R435" s="239"/>
      <c r="S435" s="239"/>
      <c r="T435" s="239"/>
      <c r="U435"/>
      <c r="V435"/>
      <c r="W435"/>
      <c r="X435"/>
      <c r="Y435"/>
      <c r="Z435"/>
      <c r="AA435"/>
    </row>
    <row r="436" spans="1:27" hidden="1" x14ac:dyDescent="0.2">
      <c r="A436" s="240"/>
      <c r="B436" s="318"/>
      <c r="C436" s="240"/>
      <c r="D436" s="241"/>
      <c r="E436" s="270"/>
      <c r="F436" s="271"/>
      <c r="G436" s="239"/>
      <c r="H436" s="239"/>
      <c r="I436" s="239"/>
      <c r="J436" s="239"/>
      <c r="K436" s="239"/>
      <c r="L436" s="239"/>
      <c r="M436" s="239"/>
      <c r="N436" s="239"/>
      <c r="O436" s="239"/>
      <c r="P436" s="239"/>
      <c r="Q436" s="239"/>
      <c r="R436" s="239"/>
      <c r="S436" s="239"/>
      <c r="T436" s="239"/>
      <c r="U436"/>
      <c r="V436"/>
      <c r="W436"/>
      <c r="X436"/>
      <c r="Y436"/>
      <c r="Z436"/>
      <c r="AA436"/>
    </row>
    <row r="437" spans="1:27" hidden="1" x14ac:dyDescent="0.2">
      <c r="A437" s="240"/>
      <c r="B437" s="318"/>
      <c r="C437" s="240"/>
      <c r="D437" s="241"/>
      <c r="E437" s="270"/>
      <c r="F437" s="271"/>
      <c r="G437" s="239"/>
      <c r="H437" s="239"/>
      <c r="I437" s="239"/>
      <c r="J437" s="239"/>
      <c r="K437" s="239"/>
      <c r="L437" s="239"/>
      <c r="M437" s="239"/>
      <c r="N437" s="239"/>
      <c r="O437" s="239"/>
      <c r="P437" s="239"/>
      <c r="Q437" s="239"/>
      <c r="R437" s="239"/>
      <c r="S437" s="239"/>
      <c r="T437" s="239"/>
      <c r="U437"/>
      <c r="V437"/>
      <c r="W437"/>
      <c r="X437"/>
      <c r="Y437"/>
      <c r="Z437"/>
      <c r="AA437"/>
    </row>
    <row r="438" spans="1:27" hidden="1" x14ac:dyDescent="0.2">
      <c r="A438" s="240"/>
      <c r="B438" s="318"/>
      <c r="C438" s="240"/>
      <c r="D438" s="241"/>
      <c r="E438" s="270"/>
      <c r="F438" s="271"/>
      <c r="G438" s="239"/>
      <c r="H438" s="239"/>
      <c r="I438" s="239"/>
      <c r="J438" s="239"/>
      <c r="K438" s="239"/>
      <c r="L438" s="239"/>
      <c r="M438" s="239"/>
      <c r="N438" s="239"/>
      <c r="O438" s="239"/>
      <c r="P438" s="239"/>
      <c r="Q438" s="239"/>
      <c r="R438" s="239"/>
      <c r="S438" s="239"/>
      <c r="T438" s="239"/>
      <c r="U438"/>
      <c r="V438"/>
      <c r="W438"/>
      <c r="X438"/>
      <c r="Y438"/>
      <c r="Z438"/>
      <c r="AA438"/>
    </row>
    <row r="439" spans="1:27" hidden="1" x14ac:dyDescent="0.2">
      <c r="A439" s="240"/>
      <c r="B439" s="318"/>
      <c r="C439" s="240"/>
      <c r="D439" s="241"/>
      <c r="E439" s="270"/>
      <c r="F439" s="271"/>
      <c r="G439" s="239"/>
      <c r="H439" s="239"/>
      <c r="I439" s="239"/>
      <c r="J439" s="239"/>
      <c r="K439" s="239"/>
      <c r="L439" s="239"/>
      <c r="M439" s="239"/>
      <c r="N439" s="239"/>
      <c r="O439" s="239"/>
      <c r="P439" s="239"/>
      <c r="Q439" s="239"/>
      <c r="R439" s="239"/>
      <c r="S439" s="239"/>
      <c r="T439" s="239"/>
      <c r="U439"/>
      <c r="V439"/>
      <c r="W439"/>
      <c r="X439"/>
      <c r="Y439"/>
      <c r="Z439"/>
      <c r="AA439"/>
    </row>
    <row r="440" spans="1:27" hidden="1" x14ac:dyDescent="0.2">
      <c r="A440" s="240"/>
      <c r="B440" s="318"/>
      <c r="C440" s="240"/>
      <c r="D440" s="241"/>
      <c r="E440" s="270"/>
      <c r="F440" s="271"/>
      <c r="G440" s="239"/>
      <c r="H440" s="239"/>
      <c r="I440" s="239"/>
      <c r="J440" s="239"/>
      <c r="K440" s="239"/>
      <c r="L440" s="239"/>
      <c r="M440" s="239"/>
      <c r="N440" s="239"/>
      <c r="O440" s="239"/>
      <c r="P440" s="239"/>
      <c r="Q440" s="239"/>
      <c r="R440" s="239"/>
      <c r="S440" s="239"/>
      <c r="T440" s="239"/>
      <c r="U440"/>
      <c r="V440"/>
      <c r="W440"/>
      <c r="X440"/>
      <c r="Y440"/>
      <c r="Z440"/>
      <c r="AA440"/>
    </row>
    <row r="441" spans="1:27" hidden="1" x14ac:dyDescent="0.2">
      <c r="A441" s="240"/>
      <c r="B441" s="318"/>
      <c r="C441" s="240"/>
      <c r="D441" s="241"/>
      <c r="E441" s="270"/>
      <c r="F441" s="271"/>
      <c r="G441" s="239"/>
      <c r="H441" s="239"/>
      <c r="I441" s="239"/>
      <c r="J441" s="239"/>
      <c r="K441" s="239"/>
      <c r="L441" s="239"/>
      <c r="M441" s="239"/>
      <c r="N441" s="239"/>
      <c r="O441" s="239"/>
      <c r="P441" s="239"/>
      <c r="Q441" s="239"/>
      <c r="R441" s="239"/>
      <c r="S441" s="239"/>
      <c r="T441" s="239"/>
      <c r="U441"/>
      <c r="V441"/>
      <c r="W441"/>
      <c r="X441"/>
      <c r="Y441"/>
      <c r="Z441"/>
      <c r="AA441"/>
    </row>
    <row r="442" spans="1:27" hidden="1" x14ac:dyDescent="0.2">
      <c r="A442" s="240"/>
      <c r="B442" s="318"/>
      <c r="C442" s="240"/>
      <c r="D442" s="241"/>
      <c r="E442" s="270"/>
      <c r="F442" s="271"/>
      <c r="G442" s="239"/>
      <c r="H442" s="239"/>
      <c r="I442" s="239"/>
      <c r="J442" s="239"/>
      <c r="K442" s="239"/>
      <c r="L442" s="239"/>
      <c r="M442" s="239"/>
      <c r="N442" s="239"/>
      <c r="O442" s="239"/>
      <c r="P442" s="239"/>
      <c r="Q442" s="239"/>
      <c r="R442" s="239"/>
      <c r="S442" s="239"/>
      <c r="T442" s="239"/>
      <c r="U442"/>
      <c r="V442"/>
      <c r="W442"/>
      <c r="X442"/>
      <c r="Y442"/>
      <c r="Z442"/>
      <c r="AA442"/>
    </row>
    <row r="443" spans="1:27" hidden="1" x14ac:dyDescent="0.2">
      <c r="A443" s="240"/>
      <c r="B443" s="318"/>
      <c r="C443" s="240"/>
      <c r="D443" s="241"/>
      <c r="E443" s="270"/>
      <c r="F443" s="271"/>
      <c r="G443" s="239"/>
      <c r="H443" s="239"/>
      <c r="I443" s="239"/>
      <c r="J443" s="239"/>
      <c r="K443" s="239"/>
      <c r="L443" s="239"/>
      <c r="M443" s="239"/>
      <c r="N443" s="239"/>
      <c r="O443" s="239"/>
      <c r="P443" s="239"/>
      <c r="Q443" s="239"/>
      <c r="R443" s="239"/>
      <c r="S443" s="239"/>
      <c r="T443" s="239"/>
      <c r="U443"/>
      <c r="V443"/>
      <c r="W443"/>
      <c r="X443"/>
      <c r="Y443"/>
      <c r="Z443"/>
      <c r="AA443"/>
    </row>
    <row r="444" spans="1:27" hidden="1" x14ac:dyDescent="0.2">
      <c r="A444" s="240"/>
      <c r="B444" s="318"/>
      <c r="C444" s="240"/>
      <c r="D444" s="241"/>
      <c r="E444" s="270"/>
      <c r="F444" s="271"/>
      <c r="G444" s="239"/>
      <c r="H444" s="239"/>
      <c r="I444" s="239"/>
      <c r="J444" s="239"/>
      <c r="K444" s="239"/>
      <c r="L444" s="239"/>
      <c r="M444" s="239"/>
      <c r="N444" s="239"/>
      <c r="O444" s="239"/>
      <c r="P444" s="239"/>
      <c r="Q444" s="239"/>
      <c r="R444" s="239"/>
      <c r="S444" s="239"/>
      <c r="T444" s="239"/>
      <c r="U444"/>
      <c r="V444"/>
      <c r="W444"/>
      <c r="X444"/>
      <c r="Y444"/>
      <c r="Z444"/>
      <c r="AA444"/>
    </row>
    <row r="445" spans="1:27" hidden="1" x14ac:dyDescent="0.2">
      <c r="A445" s="240"/>
      <c r="B445" s="318"/>
      <c r="C445" s="240"/>
      <c r="D445" s="241"/>
      <c r="E445" s="270"/>
      <c r="F445" s="271"/>
      <c r="G445" s="239"/>
      <c r="H445" s="239"/>
      <c r="I445" s="239"/>
      <c r="J445" s="239"/>
      <c r="K445" s="239"/>
      <c r="L445" s="239"/>
      <c r="M445" s="239"/>
      <c r="N445" s="239"/>
      <c r="O445" s="239"/>
      <c r="P445" s="239"/>
      <c r="Q445" s="239"/>
      <c r="R445" s="239"/>
      <c r="S445" s="239"/>
      <c r="T445" s="239"/>
      <c r="U445"/>
      <c r="V445"/>
      <c r="W445"/>
      <c r="X445"/>
      <c r="Y445"/>
      <c r="Z445"/>
      <c r="AA445"/>
    </row>
    <row r="446" spans="1:27" hidden="1" x14ac:dyDescent="0.2">
      <c r="A446" s="240"/>
      <c r="B446" s="318"/>
      <c r="C446" s="240"/>
      <c r="D446" s="241"/>
      <c r="E446" s="270"/>
      <c r="F446" s="271"/>
      <c r="G446" s="239"/>
      <c r="H446" s="239"/>
      <c r="I446" s="239"/>
      <c r="J446" s="239"/>
      <c r="K446" s="239"/>
      <c r="L446" s="239"/>
      <c r="M446" s="239"/>
      <c r="N446" s="239"/>
      <c r="O446" s="239"/>
      <c r="P446" s="239"/>
      <c r="Q446" s="239"/>
      <c r="R446" s="239"/>
      <c r="S446" s="239"/>
      <c r="T446" s="239"/>
      <c r="U446"/>
      <c r="V446"/>
      <c r="W446"/>
      <c r="X446"/>
      <c r="Y446"/>
      <c r="Z446"/>
      <c r="AA446"/>
    </row>
    <row r="447" spans="1:27" hidden="1" x14ac:dyDescent="0.2">
      <c r="A447" s="240"/>
      <c r="B447" s="318"/>
      <c r="C447" s="240"/>
      <c r="D447" s="241"/>
      <c r="E447" s="270"/>
      <c r="F447" s="271"/>
      <c r="G447" s="239"/>
      <c r="H447" s="239"/>
      <c r="I447" s="239"/>
      <c r="J447" s="239"/>
      <c r="K447" s="239"/>
      <c r="L447" s="239"/>
      <c r="M447" s="239"/>
      <c r="N447" s="239"/>
      <c r="O447" s="239"/>
      <c r="P447" s="239"/>
      <c r="Q447" s="239"/>
      <c r="R447" s="239"/>
      <c r="S447" s="239"/>
      <c r="T447" s="239"/>
      <c r="U447"/>
      <c r="V447"/>
      <c r="W447"/>
      <c r="X447"/>
      <c r="Y447"/>
      <c r="Z447"/>
      <c r="AA447"/>
    </row>
    <row r="448" spans="1:27" hidden="1" x14ac:dyDescent="0.2">
      <c r="A448" s="240"/>
      <c r="B448" s="318"/>
      <c r="C448" s="240"/>
      <c r="D448" s="241"/>
      <c r="E448" s="270"/>
      <c r="F448" s="271"/>
      <c r="G448" s="239"/>
      <c r="H448" s="239"/>
      <c r="I448" s="239"/>
      <c r="J448" s="239"/>
      <c r="K448" s="239"/>
      <c r="L448" s="239"/>
      <c r="M448" s="239"/>
      <c r="N448" s="239"/>
      <c r="O448" s="239"/>
      <c r="P448" s="239"/>
      <c r="Q448" s="239"/>
      <c r="R448" s="239"/>
      <c r="S448" s="239"/>
      <c r="T448" s="239"/>
      <c r="U448"/>
      <c r="V448"/>
      <c r="W448"/>
      <c r="X448"/>
      <c r="Y448"/>
      <c r="Z448"/>
      <c r="AA448"/>
    </row>
    <row r="449" spans="1:27" hidden="1" x14ac:dyDescent="0.2">
      <c r="A449" s="240"/>
      <c r="B449" s="318"/>
      <c r="C449" s="240"/>
      <c r="D449" s="241"/>
      <c r="E449" s="270"/>
      <c r="F449" s="271"/>
      <c r="G449" s="239"/>
      <c r="H449" s="239"/>
      <c r="I449" s="239"/>
      <c r="J449" s="239"/>
      <c r="K449" s="239"/>
      <c r="L449" s="239"/>
      <c r="M449" s="239"/>
      <c r="N449" s="239"/>
      <c r="O449" s="239"/>
      <c r="P449" s="239"/>
      <c r="Q449" s="239"/>
      <c r="R449" s="239"/>
      <c r="S449" s="239"/>
      <c r="T449" s="239"/>
      <c r="U449"/>
      <c r="V449"/>
      <c r="W449"/>
      <c r="X449"/>
      <c r="Y449"/>
      <c r="Z449"/>
      <c r="AA449"/>
    </row>
    <row r="450" spans="1:27" hidden="1" x14ac:dyDescent="0.2">
      <c r="A450" s="240"/>
      <c r="B450" s="318"/>
      <c r="C450" s="240"/>
      <c r="D450" s="241"/>
      <c r="E450" s="270"/>
      <c r="F450" s="271"/>
      <c r="G450" s="239"/>
      <c r="H450" s="239"/>
      <c r="I450" s="239"/>
      <c r="J450" s="239"/>
      <c r="K450" s="239"/>
      <c r="L450" s="239"/>
      <c r="M450" s="239"/>
      <c r="N450" s="239"/>
      <c r="O450" s="239"/>
      <c r="P450" s="239"/>
      <c r="Q450" s="239"/>
      <c r="R450" s="239"/>
      <c r="S450" s="239"/>
      <c r="T450" s="239"/>
      <c r="U450"/>
      <c r="V450"/>
      <c r="W450"/>
      <c r="X450"/>
      <c r="Y450"/>
      <c r="Z450"/>
      <c r="AA450"/>
    </row>
    <row r="451" spans="1:27" hidden="1" x14ac:dyDescent="0.2">
      <c r="A451" s="240"/>
      <c r="B451" s="318"/>
      <c r="C451" s="240"/>
      <c r="D451" s="241"/>
      <c r="E451" s="270"/>
      <c r="F451" s="271"/>
      <c r="G451" s="239"/>
      <c r="H451" s="239"/>
      <c r="I451" s="239"/>
      <c r="J451" s="239"/>
      <c r="K451" s="239"/>
      <c r="L451" s="239"/>
      <c r="M451" s="239"/>
      <c r="N451" s="239"/>
      <c r="O451" s="239"/>
      <c r="P451" s="239"/>
      <c r="Q451" s="239"/>
      <c r="R451" s="239"/>
      <c r="S451" s="239"/>
      <c r="T451" s="239"/>
      <c r="U451"/>
      <c r="V451"/>
      <c r="W451"/>
      <c r="X451"/>
      <c r="Y451"/>
      <c r="Z451"/>
      <c r="AA451"/>
    </row>
    <row r="452" spans="1:27" hidden="1" x14ac:dyDescent="0.2">
      <c r="A452" s="240"/>
      <c r="B452" s="318"/>
      <c r="C452" s="240"/>
      <c r="D452" s="241"/>
      <c r="E452" s="270"/>
      <c r="F452" s="271"/>
      <c r="G452" s="239"/>
      <c r="H452" s="239"/>
      <c r="I452" s="239"/>
      <c r="J452" s="239"/>
      <c r="K452" s="239"/>
      <c r="L452" s="239"/>
      <c r="M452" s="239"/>
      <c r="N452" s="239"/>
      <c r="O452" s="239"/>
      <c r="P452" s="239"/>
      <c r="Q452" s="239"/>
      <c r="R452" s="239"/>
      <c r="S452" s="239"/>
      <c r="T452" s="239"/>
      <c r="U452"/>
      <c r="V452"/>
      <c r="W452"/>
      <c r="X452"/>
      <c r="Y452"/>
      <c r="Z452"/>
      <c r="AA452"/>
    </row>
    <row r="453" spans="1:27" hidden="1" x14ac:dyDescent="0.2">
      <c r="A453" s="240"/>
      <c r="B453" s="318"/>
      <c r="C453" s="240"/>
      <c r="D453" s="241"/>
      <c r="E453" s="270"/>
      <c r="F453" s="271"/>
      <c r="G453" s="239"/>
      <c r="H453" s="239"/>
      <c r="I453" s="239"/>
      <c r="J453" s="239"/>
      <c r="K453" s="239"/>
      <c r="L453" s="239"/>
      <c r="M453" s="239"/>
      <c r="N453" s="239"/>
      <c r="O453" s="239"/>
      <c r="P453" s="239"/>
      <c r="Q453" s="239"/>
      <c r="R453" s="239"/>
      <c r="S453" s="239"/>
      <c r="T453" s="239"/>
      <c r="U453"/>
      <c r="V453"/>
      <c r="W453"/>
      <c r="X453"/>
      <c r="Y453"/>
      <c r="Z453"/>
      <c r="AA453"/>
    </row>
    <row r="454" spans="1:27" hidden="1" x14ac:dyDescent="0.2">
      <c r="A454" s="240"/>
      <c r="B454" s="318"/>
      <c r="C454" s="240"/>
      <c r="D454" s="241"/>
      <c r="E454" s="270"/>
      <c r="F454" s="271"/>
      <c r="G454" s="239"/>
      <c r="H454" s="239"/>
      <c r="I454" s="239"/>
      <c r="J454" s="239"/>
      <c r="K454" s="239"/>
      <c r="L454" s="239"/>
      <c r="M454" s="239"/>
      <c r="N454" s="239"/>
      <c r="O454" s="239"/>
      <c r="P454" s="239"/>
      <c r="Q454" s="239"/>
      <c r="R454" s="239"/>
      <c r="S454" s="239"/>
      <c r="T454" s="239"/>
      <c r="U454"/>
      <c r="V454"/>
      <c r="W454"/>
      <c r="X454"/>
      <c r="Y454"/>
      <c r="Z454"/>
      <c r="AA454"/>
    </row>
    <row r="455" spans="1:27" hidden="1" x14ac:dyDescent="0.2">
      <c r="A455" s="240"/>
      <c r="B455" s="318"/>
      <c r="C455" s="240"/>
      <c r="D455" s="241"/>
      <c r="E455" s="270"/>
      <c r="F455" s="271"/>
      <c r="G455" s="239"/>
      <c r="H455" s="239"/>
      <c r="I455" s="239"/>
      <c r="J455" s="239"/>
      <c r="K455" s="239"/>
      <c r="L455" s="239"/>
      <c r="M455" s="239"/>
      <c r="N455" s="239"/>
      <c r="O455" s="239"/>
      <c r="P455" s="239"/>
      <c r="Q455" s="239"/>
      <c r="R455" s="239"/>
      <c r="S455" s="239"/>
      <c r="T455" s="239"/>
      <c r="U455"/>
      <c r="V455"/>
      <c r="W455"/>
      <c r="X455"/>
      <c r="Y455"/>
      <c r="Z455"/>
      <c r="AA455"/>
    </row>
    <row r="456" spans="1:27" hidden="1" x14ac:dyDescent="0.2">
      <c r="A456" s="240"/>
      <c r="B456" s="318"/>
      <c r="C456" s="240"/>
      <c r="D456" s="241"/>
      <c r="E456" s="270"/>
      <c r="F456" s="271"/>
      <c r="G456" s="239"/>
      <c r="H456" s="239"/>
      <c r="I456" s="239"/>
      <c r="J456" s="239"/>
      <c r="K456" s="239"/>
      <c r="L456" s="239"/>
      <c r="M456" s="239"/>
      <c r="N456" s="239"/>
      <c r="O456" s="239"/>
      <c r="P456" s="239"/>
      <c r="Q456" s="239"/>
      <c r="R456" s="239"/>
      <c r="S456" s="239"/>
      <c r="T456" s="239"/>
      <c r="U456"/>
      <c r="V456"/>
      <c r="W456"/>
      <c r="X456"/>
      <c r="Y456"/>
      <c r="Z456"/>
      <c r="AA456"/>
    </row>
    <row r="457" spans="1:27" hidden="1" x14ac:dyDescent="0.2">
      <c r="A457" s="240"/>
      <c r="B457" s="318"/>
      <c r="C457" s="240"/>
      <c r="D457" s="241"/>
      <c r="E457" s="270"/>
      <c r="F457" s="271"/>
      <c r="G457" s="239"/>
      <c r="H457" s="239"/>
      <c r="I457" s="239"/>
      <c r="J457" s="239"/>
      <c r="K457" s="239"/>
      <c r="L457" s="239"/>
      <c r="M457" s="239"/>
      <c r="N457" s="239"/>
      <c r="O457" s="239"/>
      <c r="P457" s="239"/>
      <c r="Q457" s="239"/>
      <c r="R457" s="239"/>
      <c r="S457" s="239"/>
      <c r="T457" s="239"/>
      <c r="U457"/>
      <c r="V457"/>
      <c r="W457"/>
      <c r="X457"/>
      <c r="Y457"/>
      <c r="Z457"/>
      <c r="AA457"/>
    </row>
    <row r="458" spans="1:27" hidden="1" x14ac:dyDescent="0.2">
      <c r="A458" s="240"/>
      <c r="B458" s="318"/>
      <c r="C458" s="240"/>
      <c r="D458" s="241"/>
      <c r="E458" s="270"/>
      <c r="F458" s="271"/>
      <c r="G458" s="239"/>
      <c r="H458" s="239"/>
      <c r="I458" s="239"/>
      <c r="J458" s="239"/>
      <c r="K458" s="239"/>
      <c r="L458" s="239"/>
      <c r="M458" s="239"/>
      <c r="N458" s="239"/>
      <c r="O458" s="239"/>
      <c r="P458" s="239"/>
      <c r="Q458" s="239"/>
      <c r="R458" s="239"/>
      <c r="S458" s="239"/>
      <c r="T458" s="239"/>
      <c r="U458"/>
      <c r="V458"/>
      <c r="W458"/>
      <c r="X458"/>
      <c r="Y458"/>
      <c r="Z458"/>
      <c r="AA458"/>
    </row>
    <row r="459" spans="1:27" hidden="1" x14ac:dyDescent="0.2">
      <c r="A459" s="240"/>
      <c r="B459" s="318"/>
      <c r="C459" s="240"/>
      <c r="D459" s="241"/>
      <c r="E459" s="270"/>
      <c r="F459" s="271"/>
      <c r="G459" s="239"/>
      <c r="H459" s="239"/>
      <c r="I459" s="239"/>
      <c r="J459" s="239"/>
      <c r="K459" s="239"/>
      <c r="L459" s="239"/>
      <c r="M459" s="239"/>
      <c r="N459" s="239"/>
      <c r="O459" s="239"/>
      <c r="P459" s="239"/>
      <c r="Q459" s="239"/>
      <c r="R459" s="239"/>
      <c r="S459" s="239"/>
      <c r="T459" s="239"/>
      <c r="U459"/>
      <c r="V459"/>
      <c r="W459"/>
      <c r="X459"/>
      <c r="Y459"/>
      <c r="Z459"/>
      <c r="AA459"/>
    </row>
    <row r="460" spans="1:27" hidden="1" x14ac:dyDescent="0.2">
      <c r="A460" s="240"/>
      <c r="B460" s="318"/>
      <c r="C460" s="240"/>
      <c r="D460" s="241"/>
      <c r="E460" s="270"/>
      <c r="F460" s="271"/>
      <c r="G460" s="239"/>
      <c r="H460" s="239"/>
      <c r="I460" s="239"/>
      <c r="J460" s="239"/>
      <c r="K460" s="239"/>
      <c r="L460" s="239"/>
      <c r="M460" s="239"/>
      <c r="N460" s="239"/>
      <c r="O460" s="239"/>
      <c r="P460" s="239"/>
      <c r="Q460" s="239"/>
      <c r="R460" s="239"/>
      <c r="S460" s="239"/>
      <c r="T460" s="239"/>
      <c r="U460"/>
      <c r="V460"/>
      <c r="W460"/>
      <c r="X460"/>
      <c r="Y460"/>
      <c r="Z460"/>
      <c r="AA460"/>
    </row>
    <row r="461" spans="1:27" hidden="1" x14ac:dyDescent="0.2">
      <c r="A461" s="240"/>
      <c r="B461" s="318"/>
      <c r="C461" s="240"/>
      <c r="D461" s="241"/>
      <c r="E461" s="270"/>
      <c r="F461" s="271"/>
      <c r="G461" s="239"/>
      <c r="H461" s="239"/>
      <c r="I461" s="239"/>
      <c r="J461" s="239"/>
      <c r="K461" s="239"/>
      <c r="L461" s="239"/>
      <c r="M461" s="239"/>
      <c r="N461" s="239"/>
      <c r="O461" s="239"/>
      <c r="P461" s="239"/>
      <c r="Q461" s="239"/>
      <c r="R461" s="239"/>
      <c r="S461" s="239"/>
      <c r="T461" s="239"/>
      <c r="U461"/>
      <c r="V461"/>
      <c r="W461"/>
      <c r="X461"/>
      <c r="Y461"/>
      <c r="Z461"/>
      <c r="AA461"/>
    </row>
    <row r="462" spans="1:27" hidden="1" x14ac:dyDescent="0.2">
      <c r="A462" s="240"/>
      <c r="B462" s="318"/>
      <c r="C462" s="240"/>
      <c r="D462" s="241"/>
      <c r="E462" s="270"/>
      <c r="F462" s="271"/>
      <c r="G462" s="239"/>
      <c r="H462" s="239"/>
      <c r="I462" s="239"/>
      <c r="J462" s="239"/>
      <c r="K462" s="239"/>
      <c r="L462" s="239"/>
      <c r="M462" s="239"/>
      <c r="N462" s="239"/>
      <c r="O462" s="239"/>
      <c r="P462" s="239"/>
      <c r="Q462" s="239"/>
      <c r="R462" s="239"/>
      <c r="S462" s="239"/>
      <c r="T462" s="239"/>
      <c r="U462"/>
      <c r="V462"/>
      <c r="W462"/>
      <c r="X462"/>
      <c r="Y462"/>
      <c r="Z462"/>
      <c r="AA462"/>
    </row>
    <row r="463" spans="1:27" hidden="1" x14ac:dyDescent="0.2">
      <c r="A463" s="240"/>
      <c r="B463" s="318"/>
      <c r="C463" s="240"/>
      <c r="D463" s="241"/>
      <c r="E463" s="270"/>
      <c r="F463" s="271"/>
      <c r="G463" s="239"/>
      <c r="H463" s="239"/>
      <c r="I463" s="239"/>
      <c r="J463" s="239"/>
      <c r="K463" s="239"/>
      <c r="L463" s="239"/>
      <c r="M463" s="239"/>
      <c r="N463" s="239"/>
      <c r="O463" s="239"/>
      <c r="P463" s="239"/>
      <c r="Q463" s="239"/>
      <c r="R463" s="239"/>
      <c r="S463" s="239"/>
      <c r="T463" s="239"/>
      <c r="U463"/>
      <c r="V463"/>
      <c r="W463"/>
      <c r="X463"/>
      <c r="Y463"/>
      <c r="Z463"/>
      <c r="AA463"/>
    </row>
    <row r="464" spans="1:27" hidden="1" x14ac:dyDescent="0.2">
      <c r="A464" s="240"/>
      <c r="B464" s="318"/>
      <c r="C464" s="240"/>
      <c r="D464" s="241"/>
      <c r="E464" s="270"/>
      <c r="F464" s="271"/>
      <c r="G464" s="239"/>
      <c r="H464" s="239"/>
      <c r="I464" s="239"/>
      <c r="J464" s="239"/>
      <c r="K464" s="239"/>
      <c r="L464" s="239"/>
      <c r="M464" s="239"/>
      <c r="N464" s="239"/>
      <c r="O464" s="239"/>
      <c r="P464" s="239"/>
      <c r="Q464" s="239"/>
      <c r="R464" s="239"/>
      <c r="S464" s="239"/>
      <c r="T464" s="239"/>
      <c r="U464"/>
      <c r="V464"/>
      <c r="W464"/>
      <c r="X464"/>
      <c r="Y464"/>
      <c r="Z464"/>
      <c r="AA464"/>
    </row>
    <row r="465" spans="1:27" hidden="1" x14ac:dyDescent="0.2">
      <c r="A465" s="240"/>
      <c r="B465" s="318"/>
      <c r="C465" s="240"/>
      <c r="D465" s="241"/>
      <c r="E465" s="270"/>
      <c r="F465" s="271"/>
      <c r="G465" s="239"/>
      <c r="H465" s="239"/>
      <c r="I465" s="239"/>
      <c r="J465" s="239"/>
      <c r="K465" s="239"/>
      <c r="L465" s="239"/>
      <c r="M465" s="239"/>
      <c r="N465" s="239"/>
      <c r="O465" s="239"/>
      <c r="P465" s="239"/>
      <c r="Q465" s="239"/>
      <c r="R465" s="239"/>
      <c r="S465" s="239"/>
      <c r="T465" s="239"/>
      <c r="U465"/>
      <c r="V465"/>
      <c r="W465"/>
      <c r="X465"/>
      <c r="Y465"/>
      <c r="Z465"/>
      <c r="AA465"/>
    </row>
    <row r="466" spans="1:27" hidden="1" x14ac:dyDescent="0.2">
      <c r="A466" s="240"/>
      <c r="B466" s="318"/>
      <c r="C466" s="240"/>
      <c r="D466" s="241"/>
      <c r="E466" s="270"/>
      <c r="F466" s="271"/>
      <c r="G466" s="239"/>
      <c r="H466" s="239"/>
      <c r="I466" s="239"/>
      <c r="J466" s="239"/>
      <c r="K466" s="239"/>
      <c r="L466" s="239"/>
      <c r="M466" s="239"/>
      <c r="N466" s="239"/>
      <c r="O466" s="239"/>
      <c r="P466" s="239"/>
      <c r="Q466" s="239"/>
      <c r="R466" s="239"/>
      <c r="S466" s="239"/>
      <c r="T466" s="239"/>
      <c r="U466"/>
      <c r="V466"/>
      <c r="W466"/>
      <c r="X466"/>
      <c r="Y466"/>
      <c r="Z466"/>
      <c r="AA466"/>
    </row>
    <row r="467" spans="1:27" hidden="1" x14ac:dyDescent="0.2">
      <c r="A467" s="240"/>
      <c r="B467" s="318"/>
      <c r="C467" s="240"/>
      <c r="D467" s="241"/>
      <c r="E467" s="270"/>
      <c r="F467" s="271"/>
      <c r="G467" s="239"/>
      <c r="H467" s="239"/>
      <c r="I467" s="239"/>
      <c r="J467" s="239"/>
      <c r="K467" s="239"/>
      <c r="L467" s="239"/>
      <c r="M467" s="239"/>
      <c r="N467" s="239"/>
      <c r="O467" s="239"/>
      <c r="P467" s="239"/>
      <c r="Q467" s="239"/>
      <c r="R467" s="239"/>
      <c r="S467" s="239"/>
      <c r="T467" s="239"/>
      <c r="U467"/>
      <c r="V467"/>
      <c r="W467"/>
      <c r="X467"/>
      <c r="Y467"/>
      <c r="Z467"/>
      <c r="AA467"/>
    </row>
    <row r="468" spans="1:27" hidden="1" x14ac:dyDescent="0.2">
      <c r="A468" s="240"/>
      <c r="B468" s="318"/>
      <c r="C468" s="240"/>
      <c r="D468" s="241"/>
      <c r="E468" s="270"/>
      <c r="F468" s="271"/>
      <c r="G468" s="239"/>
      <c r="H468" s="239"/>
      <c r="I468" s="239"/>
      <c r="J468" s="239"/>
      <c r="K468" s="239"/>
      <c r="L468" s="239"/>
      <c r="M468" s="239"/>
      <c r="N468" s="239"/>
      <c r="O468" s="239"/>
      <c r="P468" s="239"/>
      <c r="Q468" s="239"/>
      <c r="R468" s="239"/>
      <c r="S468" s="239"/>
      <c r="T468" s="239"/>
      <c r="U468"/>
      <c r="V468"/>
      <c r="W468"/>
      <c r="X468"/>
      <c r="Y468"/>
      <c r="Z468"/>
      <c r="AA468"/>
    </row>
    <row r="469" spans="1:27" hidden="1" x14ac:dyDescent="0.2">
      <c r="A469" s="240"/>
      <c r="B469" s="318"/>
      <c r="C469" s="240"/>
      <c r="D469" s="241"/>
      <c r="E469" s="270"/>
      <c r="F469" s="271"/>
      <c r="G469" s="239"/>
      <c r="H469" s="239"/>
      <c r="I469" s="239"/>
      <c r="J469" s="239"/>
      <c r="K469" s="239"/>
      <c r="L469" s="239"/>
      <c r="M469" s="239"/>
      <c r="N469" s="239"/>
      <c r="O469" s="239"/>
      <c r="P469" s="239"/>
      <c r="Q469" s="239"/>
      <c r="R469" s="239"/>
      <c r="S469" s="239"/>
      <c r="T469" s="239"/>
      <c r="U469"/>
      <c r="V469"/>
      <c r="W469"/>
      <c r="X469"/>
      <c r="Y469"/>
      <c r="Z469"/>
      <c r="AA469"/>
    </row>
    <row r="470" spans="1:27" hidden="1" x14ac:dyDescent="0.2">
      <c r="A470" s="240"/>
      <c r="B470" s="318"/>
      <c r="C470" s="240"/>
      <c r="D470" s="241"/>
      <c r="E470" s="270"/>
      <c r="F470" s="271"/>
      <c r="G470" s="239"/>
      <c r="H470" s="239"/>
      <c r="I470" s="239"/>
      <c r="J470" s="239"/>
      <c r="K470" s="239"/>
      <c r="L470" s="239"/>
      <c r="M470" s="239"/>
      <c r="N470" s="239"/>
      <c r="O470" s="239"/>
      <c r="P470" s="239"/>
      <c r="Q470" s="239"/>
      <c r="R470" s="239"/>
      <c r="S470" s="239"/>
      <c r="T470" s="239"/>
      <c r="U470"/>
      <c r="V470"/>
      <c r="W470"/>
      <c r="X470"/>
      <c r="Y470"/>
      <c r="Z470"/>
      <c r="AA470"/>
    </row>
    <row r="471" spans="1:27" hidden="1" x14ac:dyDescent="0.2">
      <c r="A471" s="240"/>
      <c r="B471" s="318"/>
      <c r="C471" s="240"/>
      <c r="D471" s="241"/>
      <c r="E471" s="270"/>
      <c r="F471" s="271"/>
      <c r="G471" s="239"/>
      <c r="H471" s="239"/>
      <c r="I471" s="239"/>
      <c r="J471" s="239"/>
      <c r="K471" s="239"/>
      <c r="L471" s="239"/>
      <c r="M471" s="239"/>
      <c r="N471" s="239"/>
      <c r="O471" s="239"/>
      <c r="P471" s="239"/>
      <c r="Q471" s="239"/>
      <c r="R471" s="239"/>
      <c r="S471" s="239"/>
      <c r="T471" s="239"/>
      <c r="U471"/>
      <c r="V471"/>
      <c r="W471"/>
      <c r="X471"/>
      <c r="Y471"/>
      <c r="Z471"/>
      <c r="AA471"/>
    </row>
    <row r="472" spans="1:27" hidden="1" x14ac:dyDescent="0.2">
      <c r="A472" s="240"/>
      <c r="B472" s="318"/>
      <c r="C472" s="240"/>
      <c r="D472" s="241"/>
      <c r="E472" s="270"/>
      <c r="F472" s="271"/>
      <c r="G472" s="239"/>
      <c r="H472" s="239"/>
      <c r="I472" s="239"/>
      <c r="J472" s="239"/>
      <c r="K472" s="239"/>
      <c r="L472" s="239"/>
      <c r="M472" s="239"/>
      <c r="N472" s="239"/>
      <c r="O472" s="239"/>
      <c r="P472" s="239"/>
      <c r="Q472" s="239"/>
      <c r="R472" s="239"/>
      <c r="S472" s="239"/>
      <c r="T472" s="239"/>
      <c r="U472"/>
      <c r="V472"/>
      <c r="W472"/>
      <c r="X472"/>
      <c r="Y472"/>
      <c r="Z472"/>
      <c r="AA472"/>
    </row>
    <row r="473" spans="1:27" hidden="1" x14ac:dyDescent="0.2">
      <c r="A473" s="240"/>
      <c r="B473" s="318"/>
      <c r="C473" s="240"/>
      <c r="D473" s="241"/>
      <c r="E473" s="270"/>
      <c r="F473" s="271"/>
      <c r="G473" s="239"/>
      <c r="H473" s="239"/>
      <c r="I473" s="239"/>
      <c r="J473" s="239"/>
      <c r="K473" s="239"/>
      <c r="L473" s="239"/>
      <c r="M473" s="239"/>
      <c r="N473" s="239"/>
      <c r="O473" s="239"/>
      <c r="P473" s="239"/>
      <c r="Q473" s="239"/>
      <c r="R473" s="239"/>
      <c r="S473" s="239"/>
      <c r="T473" s="239"/>
      <c r="U473"/>
      <c r="V473"/>
      <c r="W473"/>
      <c r="X473"/>
      <c r="Y473"/>
      <c r="Z473"/>
      <c r="AA473"/>
    </row>
    <row r="474" spans="1:27" hidden="1" x14ac:dyDescent="0.2">
      <c r="A474" s="240"/>
      <c r="B474" s="318"/>
      <c r="C474" s="240"/>
      <c r="D474" s="241"/>
      <c r="E474" s="270"/>
      <c r="F474" s="271"/>
      <c r="G474" s="239"/>
      <c r="H474" s="239"/>
      <c r="I474" s="239"/>
      <c r="J474" s="239"/>
      <c r="K474" s="239"/>
      <c r="L474" s="239"/>
      <c r="M474" s="239"/>
      <c r="N474" s="239"/>
      <c r="O474" s="239"/>
      <c r="P474" s="239"/>
      <c r="Q474" s="239"/>
      <c r="R474" s="239"/>
      <c r="S474" s="239"/>
      <c r="T474" s="239"/>
      <c r="U474"/>
      <c r="V474"/>
      <c r="W474"/>
      <c r="X474"/>
      <c r="Y474"/>
      <c r="Z474"/>
      <c r="AA474"/>
    </row>
    <row r="475" spans="1:27" hidden="1" x14ac:dyDescent="0.2">
      <c r="A475" s="240"/>
      <c r="B475" s="318"/>
      <c r="C475" s="240"/>
      <c r="D475" s="241"/>
      <c r="E475" s="270"/>
      <c r="F475" s="271"/>
      <c r="G475" s="239"/>
      <c r="H475" s="239"/>
      <c r="I475" s="239"/>
      <c r="J475" s="239"/>
      <c r="K475" s="239"/>
      <c r="L475" s="239"/>
      <c r="M475" s="239"/>
      <c r="N475" s="239"/>
      <c r="O475" s="239"/>
      <c r="P475" s="239"/>
      <c r="Q475" s="239"/>
      <c r="R475" s="239"/>
      <c r="S475" s="239"/>
      <c r="T475" s="239"/>
      <c r="U475"/>
      <c r="V475"/>
      <c r="W475"/>
      <c r="X475"/>
      <c r="Y475"/>
      <c r="Z475"/>
      <c r="AA475"/>
    </row>
    <row r="476" spans="1:27" hidden="1" x14ac:dyDescent="0.2">
      <c r="A476" s="240"/>
      <c r="B476" s="318"/>
      <c r="C476" s="240"/>
      <c r="D476" s="241"/>
      <c r="E476" s="270"/>
      <c r="F476" s="271"/>
      <c r="G476" s="239"/>
      <c r="H476" s="239"/>
      <c r="I476" s="239"/>
      <c r="J476" s="239"/>
      <c r="K476" s="239"/>
      <c r="L476" s="239"/>
      <c r="M476" s="239"/>
      <c r="N476" s="239"/>
      <c r="O476" s="239"/>
      <c r="P476" s="239"/>
      <c r="Q476" s="239"/>
      <c r="R476" s="239"/>
      <c r="S476" s="239"/>
      <c r="T476" s="239"/>
      <c r="U476"/>
      <c r="V476"/>
      <c r="W476"/>
      <c r="X476"/>
      <c r="Y476"/>
      <c r="Z476"/>
      <c r="AA476"/>
    </row>
    <row r="477" spans="1:27" hidden="1" x14ac:dyDescent="0.2">
      <c r="A477" s="240"/>
      <c r="B477" s="318"/>
      <c r="C477" s="240"/>
      <c r="D477" s="241"/>
      <c r="E477" s="270"/>
      <c r="F477" s="271"/>
      <c r="G477" s="239"/>
      <c r="H477" s="239"/>
      <c r="I477" s="239"/>
      <c r="J477" s="239"/>
      <c r="K477" s="239"/>
      <c r="L477" s="239"/>
      <c r="M477" s="239"/>
      <c r="N477" s="239"/>
      <c r="O477" s="239"/>
      <c r="P477" s="239"/>
      <c r="Q477" s="239"/>
      <c r="R477" s="239"/>
      <c r="S477" s="239"/>
      <c r="T477" s="239"/>
      <c r="U477"/>
      <c r="V477"/>
      <c r="W477"/>
      <c r="X477"/>
      <c r="Y477"/>
      <c r="Z477"/>
      <c r="AA477"/>
    </row>
    <row r="478" spans="1:27" hidden="1" x14ac:dyDescent="0.2">
      <c r="A478" s="240"/>
      <c r="B478" s="318"/>
      <c r="C478" s="240"/>
      <c r="D478" s="241"/>
      <c r="E478" s="270"/>
      <c r="F478" s="271"/>
      <c r="G478" s="239"/>
      <c r="H478" s="239"/>
      <c r="I478" s="239"/>
      <c r="J478" s="239"/>
      <c r="K478" s="239"/>
      <c r="L478" s="239"/>
      <c r="M478" s="239"/>
      <c r="N478" s="239"/>
      <c r="O478" s="239"/>
      <c r="P478" s="239"/>
      <c r="Q478" s="239"/>
      <c r="R478" s="239"/>
      <c r="S478" s="239"/>
      <c r="T478" s="239"/>
      <c r="U478"/>
      <c r="V478"/>
      <c r="W478"/>
      <c r="X478"/>
      <c r="Y478"/>
      <c r="Z478"/>
      <c r="AA478"/>
    </row>
    <row r="479" spans="1:27" hidden="1" x14ac:dyDescent="0.2">
      <c r="A479" s="240"/>
      <c r="B479" s="318"/>
      <c r="C479" s="240"/>
      <c r="D479" s="241"/>
      <c r="E479" s="270"/>
      <c r="F479" s="271"/>
      <c r="G479" s="239"/>
      <c r="H479" s="239"/>
      <c r="I479" s="239"/>
      <c r="J479" s="239"/>
      <c r="K479" s="239"/>
      <c r="L479" s="239"/>
      <c r="M479" s="239"/>
      <c r="N479" s="239"/>
      <c r="O479" s="239"/>
      <c r="P479" s="239"/>
      <c r="Q479" s="239"/>
      <c r="R479" s="239"/>
      <c r="S479" s="239"/>
      <c r="T479" s="239"/>
      <c r="U479"/>
      <c r="V479"/>
      <c r="W479"/>
      <c r="X479"/>
      <c r="Y479"/>
      <c r="Z479"/>
      <c r="AA479"/>
    </row>
    <row r="480" spans="1:27" hidden="1" x14ac:dyDescent="0.2">
      <c r="A480" s="240"/>
      <c r="B480" s="318"/>
      <c r="C480" s="240"/>
      <c r="D480" s="241"/>
      <c r="E480" s="270"/>
      <c r="F480" s="271"/>
      <c r="G480" s="239"/>
      <c r="H480" s="239"/>
      <c r="I480" s="239"/>
      <c r="J480" s="239"/>
      <c r="K480" s="239"/>
      <c r="L480" s="239"/>
      <c r="M480" s="239"/>
      <c r="N480" s="239"/>
      <c r="O480" s="239"/>
      <c r="P480" s="239"/>
      <c r="Q480" s="239"/>
      <c r="R480" s="239"/>
      <c r="S480" s="239"/>
      <c r="T480" s="239"/>
      <c r="U480"/>
      <c r="V480"/>
      <c r="W480"/>
      <c r="X480"/>
      <c r="Y480"/>
      <c r="Z480"/>
      <c r="AA480"/>
    </row>
    <row r="481" spans="1:27" hidden="1" x14ac:dyDescent="0.2">
      <c r="A481" s="240"/>
      <c r="B481" s="318"/>
      <c r="C481" s="240"/>
      <c r="D481" s="241"/>
      <c r="E481" s="270"/>
      <c r="F481" s="271"/>
      <c r="G481" s="239"/>
      <c r="H481" s="239"/>
      <c r="I481" s="239"/>
      <c r="J481" s="239"/>
      <c r="K481" s="239"/>
      <c r="L481" s="239"/>
      <c r="M481" s="239"/>
      <c r="N481" s="239"/>
      <c r="O481" s="239"/>
      <c r="P481" s="239"/>
      <c r="Q481" s="239"/>
      <c r="R481" s="239"/>
      <c r="S481" s="239"/>
      <c r="T481" s="239"/>
      <c r="U481"/>
      <c r="V481"/>
      <c r="W481"/>
      <c r="X481"/>
      <c r="Y481"/>
      <c r="Z481"/>
      <c r="AA481"/>
    </row>
    <row r="482" spans="1:27" hidden="1" x14ac:dyDescent="0.2">
      <c r="A482" s="240"/>
      <c r="B482" s="318"/>
      <c r="C482" s="240"/>
      <c r="D482" s="241"/>
      <c r="E482" s="270"/>
      <c r="F482" s="271"/>
      <c r="G482" s="239"/>
      <c r="H482" s="239"/>
      <c r="I482" s="239"/>
      <c r="J482" s="239"/>
      <c r="K482" s="239"/>
      <c r="L482" s="239"/>
      <c r="M482" s="239"/>
      <c r="N482" s="239"/>
      <c r="O482" s="239"/>
      <c r="P482" s="239"/>
      <c r="Q482" s="239"/>
      <c r="R482" s="239"/>
      <c r="S482" s="239"/>
      <c r="T482" s="239"/>
      <c r="U482"/>
      <c r="V482"/>
      <c r="W482"/>
      <c r="X482"/>
      <c r="Y482"/>
      <c r="Z482"/>
      <c r="AA482"/>
    </row>
    <row r="483" spans="1:27" hidden="1" x14ac:dyDescent="0.2">
      <c r="A483" s="240"/>
      <c r="B483" s="318"/>
      <c r="C483" s="240"/>
      <c r="D483" s="241"/>
      <c r="E483" s="270"/>
      <c r="F483" s="271"/>
      <c r="G483" s="239"/>
      <c r="H483" s="239"/>
      <c r="I483" s="239"/>
      <c r="J483" s="239"/>
      <c r="K483" s="239"/>
      <c r="L483" s="239"/>
      <c r="M483" s="239"/>
      <c r="N483" s="239"/>
      <c r="O483" s="239"/>
      <c r="P483" s="239"/>
      <c r="Q483" s="239"/>
      <c r="R483" s="239"/>
      <c r="S483" s="239"/>
      <c r="T483" s="239"/>
      <c r="U483"/>
      <c r="V483"/>
      <c r="W483"/>
      <c r="X483"/>
      <c r="Y483"/>
      <c r="Z483"/>
      <c r="AA483"/>
    </row>
    <row r="484" spans="1:27" hidden="1" x14ac:dyDescent="0.2">
      <c r="A484" s="240"/>
      <c r="B484" s="318"/>
      <c r="C484" s="240"/>
      <c r="D484" s="241"/>
      <c r="E484" s="270"/>
      <c r="F484" s="271"/>
      <c r="G484" s="239"/>
      <c r="H484" s="239"/>
      <c r="I484" s="239"/>
      <c r="J484" s="239"/>
      <c r="K484" s="239"/>
      <c r="L484" s="239"/>
      <c r="M484" s="239"/>
      <c r="N484" s="239"/>
      <c r="O484" s="239"/>
      <c r="P484" s="239"/>
      <c r="Q484" s="239"/>
      <c r="R484" s="239"/>
      <c r="S484" s="239"/>
      <c r="T484" s="239"/>
      <c r="U484"/>
      <c r="V484"/>
      <c r="W484"/>
      <c r="X484"/>
      <c r="Y484"/>
      <c r="Z484"/>
      <c r="AA484"/>
    </row>
    <row r="485" spans="1:27" hidden="1" x14ac:dyDescent="0.2">
      <c r="A485" s="240"/>
      <c r="B485" s="318"/>
      <c r="C485" s="240"/>
      <c r="D485" s="241"/>
      <c r="E485" s="270"/>
      <c r="F485" s="271"/>
      <c r="G485" s="239"/>
      <c r="H485" s="239"/>
      <c r="I485" s="239"/>
      <c r="J485" s="239"/>
      <c r="K485" s="239"/>
      <c r="L485" s="239"/>
      <c r="M485" s="239"/>
      <c r="N485" s="239"/>
      <c r="O485" s="239"/>
      <c r="P485" s="239"/>
      <c r="Q485" s="239"/>
      <c r="R485" s="239"/>
      <c r="S485" s="239"/>
      <c r="T485" s="239"/>
      <c r="U485"/>
      <c r="V485"/>
      <c r="W485"/>
      <c r="X485"/>
      <c r="Y485"/>
      <c r="Z485"/>
      <c r="AA485"/>
    </row>
    <row r="486" spans="1:27" hidden="1" x14ac:dyDescent="0.2">
      <c r="A486" s="240"/>
      <c r="B486" s="318"/>
      <c r="C486" s="240"/>
      <c r="D486" s="241"/>
      <c r="E486" s="270"/>
      <c r="F486" s="271"/>
      <c r="G486" s="239"/>
      <c r="H486" s="239"/>
      <c r="I486" s="239"/>
      <c r="J486" s="239"/>
      <c r="K486" s="239"/>
      <c r="L486" s="239"/>
      <c r="M486" s="239"/>
      <c r="N486" s="239"/>
      <c r="O486" s="239"/>
      <c r="P486" s="239"/>
      <c r="Q486" s="239"/>
      <c r="R486" s="239"/>
      <c r="S486" s="239"/>
      <c r="T486" s="239"/>
      <c r="U486"/>
      <c r="V486"/>
      <c r="W486"/>
      <c r="X486"/>
      <c r="Y486"/>
      <c r="Z486"/>
      <c r="AA486"/>
    </row>
    <row r="487" spans="1:27" hidden="1" x14ac:dyDescent="0.2">
      <c r="A487" s="240"/>
      <c r="B487" s="318"/>
      <c r="C487" s="240"/>
      <c r="D487" s="241"/>
      <c r="E487" s="270"/>
      <c r="F487" s="271"/>
      <c r="G487" s="239"/>
      <c r="H487" s="239"/>
      <c r="I487" s="239"/>
      <c r="J487" s="239"/>
      <c r="K487" s="239"/>
      <c r="L487" s="239"/>
      <c r="M487" s="239"/>
      <c r="N487" s="239"/>
      <c r="O487" s="239"/>
      <c r="P487" s="239"/>
      <c r="Q487" s="239"/>
      <c r="R487" s="239"/>
      <c r="S487" s="239"/>
      <c r="T487" s="239"/>
      <c r="U487"/>
      <c r="V487"/>
      <c r="W487"/>
      <c r="X487"/>
      <c r="Y487"/>
      <c r="Z487"/>
      <c r="AA487"/>
    </row>
    <row r="488" spans="1:27" hidden="1" x14ac:dyDescent="0.2">
      <c r="A488" s="240"/>
      <c r="B488" s="318"/>
      <c r="C488" s="240"/>
      <c r="D488" s="241"/>
      <c r="E488" s="270"/>
      <c r="F488" s="271"/>
      <c r="G488" s="239"/>
      <c r="H488" s="239"/>
      <c r="I488" s="239"/>
      <c r="J488" s="239"/>
      <c r="K488" s="239"/>
      <c r="L488" s="239"/>
      <c r="M488" s="239"/>
      <c r="N488" s="239"/>
      <c r="O488" s="239"/>
      <c r="P488" s="239"/>
      <c r="Q488" s="239"/>
      <c r="R488" s="239"/>
      <c r="S488" s="239"/>
      <c r="T488" s="239"/>
      <c r="U488"/>
      <c r="V488"/>
      <c r="W488"/>
      <c r="X488"/>
      <c r="Y488"/>
      <c r="Z488"/>
      <c r="AA488"/>
    </row>
    <row r="489" spans="1:27" hidden="1" x14ac:dyDescent="0.2">
      <c r="A489" s="240"/>
      <c r="B489" s="318"/>
      <c r="C489" s="240"/>
      <c r="D489" s="241"/>
      <c r="E489" s="270"/>
      <c r="F489" s="271"/>
      <c r="G489" s="239"/>
      <c r="H489" s="239"/>
      <c r="I489" s="239"/>
      <c r="J489" s="239"/>
      <c r="K489" s="239"/>
      <c r="L489" s="239"/>
      <c r="M489" s="239"/>
      <c r="N489" s="239"/>
      <c r="O489" s="239"/>
      <c r="P489" s="239"/>
      <c r="Q489" s="239"/>
      <c r="R489" s="239"/>
      <c r="S489" s="239"/>
      <c r="T489" s="239"/>
      <c r="U489"/>
      <c r="V489"/>
      <c r="W489"/>
      <c r="X489"/>
      <c r="Y489"/>
      <c r="Z489"/>
      <c r="AA489"/>
    </row>
    <row r="490" spans="1:27" hidden="1" x14ac:dyDescent="0.2">
      <c r="A490" s="240"/>
      <c r="B490" s="318"/>
      <c r="C490" s="240"/>
      <c r="D490" s="241"/>
      <c r="E490" s="270"/>
      <c r="F490" s="271"/>
      <c r="G490" s="239"/>
      <c r="H490" s="239"/>
      <c r="I490" s="239"/>
      <c r="J490" s="239"/>
      <c r="K490" s="239"/>
      <c r="L490" s="239"/>
      <c r="M490" s="239"/>
      <c r="N490" s="239"/>
      <c r="O490" s="239"/>
      <c r="P490" s="239"/>
      <c r="Q490" s="239"/>
      <c r="R490" s="239"/>
      <c r="S490" s="239"/>
      <c r="T490" s="239"/>
      <c r="U490"/>
      <c r="V490"/>
      <c r="W490"/>
      <c r="X490"/>
      <c r="Y490"/>
      <c r="Z490"/>
      <c r="AA490"/>
    </row>
    <row r="491" spans="1:27" hidden="1" x14ac:dyDescent="0.2">
      <c r="A491" s="240"/>
      <c r="B491" s="318"/>
      <c r="C491" s="240"/>
      <c r="D491" s="241"/>
      <c r="E491" s="270"/>
      <c r="F491" s="271"/>
      <c r="G491" s="239"/>
      <c r="H491" s="239"/>
      <c r="I491" s="239"/>
      <c r="J491" s="239"/>
      <c r="K491" s="239"/>
      <c r="L491" s="239"/>
      <c r="M491" s="239"/>
      <c r="N491" s="239"/>
      <c r="O491" s="239"/>
      <c r="P491" s="239"/>
      <c r="Q491" s="239"/>
      <c r="R491" s="239"/>
      <c r="S491" s="239"/>
      <c r="T491" s="239"/>
      <c r="U491"/>
      <c r="V491"/>
      <c r="W491"/>
      <c r="X491"/>
      <c r="Y491"/>
      <c r="Z491"/>
      <c r="AA491"/>
    </row>
    <row r="492" spans="1:27" hidden="1" x14ac:dyDescent="0.2">
      <c r="A492" s="240"/>
      <c r="B492" s="318"/>
      <c r="C492" s="240"/>
      <c r="D492" s="241"/>
      <c r="E492" s="270"/>
      <c r="F492" s="271"/>
      <c r="G492" s="239"/>
      <c r="H492" s="239"/>
      <c r="I492" s="239"/>
      <c r="J492" s="239"/>
      <c r="K492" s="239"/>
      <c r="L492" s="239"/>
      <c r="M492" s="239"/>
      <c r="N492" s="239"/>
      <c r="O492" s="239"/>
      <c r="P492" s="239"/>
      <c r="Q492" s="239"/>
      <c r="R492" s="239"/>
      <c r="S492" s="239"/>
      <c r="T492" s="239"/>
      <c r="U492"/>
      <c r="V492"/>
      <c r="W492"/>
      <c r="X492"/>
      <c r="Y492"/>
      <c r="Z492"/>
      <c r="AA492"/>
    </row>
    <row r="493" spans="1:27" hidden="1" x14ac:dyDescent="0.2">
      <c r="A493" s="240"/>
      <c r="B493" s="318"/>
      <c r="C493" s="240"/>
      <c r="D493" s="241"/>
      <c r="E493" s="270"/>
      <c r="F493" s="271"/>
      <c r="G493" s="239"/>
      <c r="H493" s="239"/>
      <c r="I493" s="239"/>
      <c r="J493" s="239"/>
      <c r="K493" s="239"/>
      <c r="L493" s="239"/>
      <c r="M493" s="239"/>
      <c r="N493" s="239"/>
      <c r="O493" s="239"/>
      <c r="P493" s="239"/>
      <c r="Q493" s="239"/>
      <c r="R493" s="239"/>
      <c r="S493" s="239"/>
      <c r="T493" s="239"/>
      <c r="U493"/>
      <c r="V493"/>
      <c r="W493"/>
      <c r="X493"/>
      <c r="Y493"/>
      <c r="Z493"/>
      <c r="AA493"/>
    </row>
    <row r="494" spans="1:27" hidden="1" x14ac:dyDescent="0.2">
      <c r="A494" s="240"/>
      <c r="B494" s="318"/>
      <c r="C494" s="240"/>
      <c r="D494" s="241"/>
      <c r="E494" s="270"/>
      <c r="F494" s="271"/>
      <c r="G494" s="239"/>
      <c r="H494" s="239"/>
      <c r="I494" s="239"/>
      <c r="J494" s="239"/>
      <c r="K494" s="239"/>
      <c r="L494" s="239"/>
      <c r="M494" s="239"/>
      <c r="N494" s="239"/>
      <c r="O494" s="239"/>
      <c r="P494" s="239"/>
      <c r="Q494" s="239"/>
      <c r="R494" s="239"/>
      <c r="S494" s="239"/>
      <c r="T494" s="239"/>
      <c r="U494"/>
      <c r="V494"/>
      <c r="W494"/>
      <c r="X494"/>
      <c r="Y494"/>
      <c r="Z494"/>
      <c r="AA494"/>
    </row>
    <row r="495" spans="1:27" hidden="1" x14ac:dyDescent="0.2">
      <c r="A495" s="240"/>
      <c r="B495" s="318"/>
      <c r="C495" s="240"/>
      <c r="D495" s="241"/>
      <c r="E495" s="270"/>
      <c r="F495" s="271"/>
      <c r="G495" s="239"/>
      <c r="H495" s="239"/>
      <c r="I495" s="239"/>
      <c r="J495" s="239"/>
      <c r="K495" s="239"/>
      <c r="L495" s="239"/>
      <c r="M495" s="239"/>
      <c r="N495" s="239"/>
      <c r="O495" s="239"/>
      <c r="P495" s="239"/>
      <c r="Q495" s="239"/>
      <c r="R495" s="239"/>
      <c r="S495" s="239"/>
      <c r="T495" s="239"/>
      <c r="U495"/>
      <c r="V495"/>
      <c r="W495"/>
      <c r="X495"/>
      <c r="Y495"/>
      <c r="Z495"/>
      <c r="AA495"/>
    </row>
    <row r="496" spans="1:27" hidden="1" x14ac:dyDescent="0.2">
      <c r="A496" s="240"/>
      <c r="B496" s="318"/>
      <c r="C496" s="240"/>
      <c r="D496" s="241"/>
      <c r="E496" s="270"/>
      <c r="F496" s="271"/>
      <c r="G496" s="239"/>
      <c r="H496" s="239"/>
      <c r="I496" s="239"/>
      <c r="J496" s="239"/>
      <c r="K496" s="239"/>
      <c r="L496" s="239"/>
      <c r="M496" s="239"/>
      <c r="N496" s="239"/>
      <c r="O496" s="239"/>
      <c r="P496" s="239"/>
      <c r="Q496" s="239"/>
      <c r="R496" s="239"/>
      <c r="S496" s="239"/>
      <c r="T496" s="239"/>
      <c r="U496"/>
      <c r="V496"/>
      <c r="W496"/>
      <c r="X496"/>
      <c r="Y496"/>
      <c r="Z496"/>
      <c r="AA496"/>
    </row>
    <row r="497" spans="1:27" hidden="1" x14ac:dyDescent="0.2">
      <c r="A497" s="240"/>
      <c r="B497" s="318"/>
      <c r="C497" s="240"/>
      <c r="D497" s="241"/>
      <c r="E497" s="270"/>
      <c r="F497" s="271"/>
      <c r="G497" s="239"/>
      <c r="H497" s="239"/>
      <c r="I497" s="239"/>
      <c r="J497" s="239"/>
      <c r="K497" s="239"/>
      <c r="L497" s="239"/>
      <c r="M497" s="239"/>
      <c r="N497" s="239"/>
      <c r="O497" s="239"/>
      <c r="P497" s="239"/>
      <c r="Q497" s="239"/>
      <c r="R497" s="239"/>
      <c r="S497" s="239"/>
      <c r="T497" s="239"/>
      <c r="U497"/>
      <c r="V497"/>
      <c r="W497"/>
      <c r="X497"/>
      <c r="Y497"/>
      <c r="Z497"/>
      <c r="AA497"/>
    </row>
    <row r="498" spans="1:27" hidden="1" x14ac:dyDescent="0.2">
      <c r="A498" s="240"/>
      <c r="B498" s="318"/>
      <c r="C498" s="240"/>
      <c r="D498" s="241"/>
      <c r="E498" s="270"/>
      <c r="F498" s="271"/>
      <c r="G498" s="239"/>
      <c r="H498" s="239"/>
      <c r="I498" s="239"/>
      <c r="J498" s="239"/>
      <c r="K498" s="239"/>
      <c r="L498" s="239"/>
      <c r="M498" s="239"/>
      <c r="N498" s="239"/>
      <c r="O498" s="239"/>
      <c r="P498" s="239"/>
      <c r="Q498" s="239"/>
      <c r="R498" s="239"/>
      <c r="S498" s="239"/>
      <c r="T498" s="239"/>
      <c r="U498"/>
      <c r="V498"/>
      <c r="W498"/>
      <c r="X498"/>
      <c r="Y498"/>
      <c r="Z498"/>
      <c r="AA498"/>
    </row>
    <row r="499" spans="1:27" hidden="1" x14ac:dyDescent="0.2">
      <c r="A499" s="240"/>
      <c r="B499" s="318"/>
      <c r="C499" s="240"/>
      <c r="D499" s="241"/>
      <c r="E499" s="270"/>
      <c r="F499" s="271"/>
      <c r="G499" s="239"/>
      <c r="H499" s="239"/>
      <c r="I499" s="239"/>
      <c r="J499" s="239"/>
      <c r="K499" s="239"/>
      <c r="L499" s="239"/>
      <c r="M499" s="239"/>
      <c r="N499" s="239"/>
      <c r="O499" s="239"/>
      <c r="P499" s="239"/>
      <c r="Q499" s="239"/>
      <c r="R499" s="239"/>
      <c r="S499" s="239"/>
      <c r="T499" s="239"/>
      <c r="U499"/>
      <c r="V499"/>
      <c r="W499"/>
      <c r="X499"/>
      <c r="Y499"/>
      <c r="Z499"/>
      <c r="AA499"/>
    </row>
    <row r="500" spans="1:27" hidden="1" x14ac:dyDescent="0.2">
      <c r="A500" s="240"/>
      <c r="B500" s="318"/>
      <c r="C500" s="240"/>
      <c r="D500" s="241"/>
      <c r="E500" s="270"/>
      <c r="F500" s="271"/>
      <c r="G500" s="239"/>
      <c r="H500" s="239"/>
      <c r="I500" s="239"/>
      <c r="J500" s="239"/>
      <c r="K500" s="239"/>
      <c r="L500" s="239"/>
      <c r="M500" s="239"/>
      <c r="N500" s="239"/>
      <c r="O500" s="239"/>
      <c r="P500" s="239"/>
      <c r="Q500" s="239"/>
      <c r="R500" s="239"/>
      <c r="S500" s="239"/>
      <c r="T500" s="239"/>
      <c r="U500"/>
      <c r="V500"/>
      <c r="W500"/>
      <c r="X500"/>
      <c r="Y500"/>
      <c r="Z500"/>
      <c r="AA500"/>
    </row>
    <row r="501" spans="1:27" hidden="1" x14ac:dyDescent="0.2">
      <c r="A501" s="240"/>
      <c r="B501" s="318"/>
      <c r="C501" s="240"/>
      <c r="D501" s="241"/>
      <c r="E501" s="270"/>
      <c r="F501" s="271"/>
      <c r="G501" s="239"/>
      <c r="H501" s="239"/>
      <c r="I501" s="239"/>
      <c r="J501" s="239"/>
      <c r="K501" s="239"/>
      <c r="L501" s="239"/>
      <c r="M501" s="239"/>
      <c r="N501" s="239"/>
      <c r="O501" s="239"/>
      <c r="P501" s="239"/>
      <c r="Q501" s="239"/>
      <c r="R501" s="239"/>
      <c r="S501" s="239"/>
      <c r="T501" s="239"/>
      <c r="U501"/>
      <c r="V501"/>
      <c r="W501"/>
      <c r="X501"/>
      <c r="Y501"/>
      <c r="Z501"/>
      <c r="AA501"/>
    </row>
    <row r="502" spans="1:27" hidden="1" x14ac:dyDescent="0.2">
      <c r="A502" s="240"/>
      <c r="B502" s="318"/>
      <c r="C502" s="240"/>
      <c r="D502" s="241"/>
      <c r="E502" s="270"/>
      <c r="F502" s="271"/>
      <c r="G502" s="239"/>
      <c r="H502" s="239"/>
      <c r="I502" s="239"/>
      <c r="J502" s="239"/>
      <c r="K502" s="239"/>
      <c r="L502" s="239"/>
      <c r="M502" s="239"/>
      <c r="N502" s="239"/>
      <c r="O502" s="239"/>
      <c r="P502" s="239"/>
      <c r="Q502" s="239"/>
      <c r="R502" s="239"/>
      <c r="S502" s="239"/>
      <c r="T502" s="239"/>
      <c r="U502"/>
      <c r="V502"/>
      <c r="W502"/>
      <c r="X502"/>
      <c r="Y502"/>
      <c r="Z502"/>
      <c r="AA502"/>
    </row>
    <row r="503" spans="1:27" hidden="1" x14ac:dyDescent="0.2">
      <c r="A503" s="240"/>
      <c r="B503" s="318"/>
      <c r="C503" s="240"/>
      <c r="D503" s="241"/>
      <c r="E503" s="270"/>
      <c r="F503" s="271"/>
      <c r="G503" s="239"/>
      <c r="H503" s="239"/>
      <c r="I503" s="239"/>
      <c r="J503" s="239"/>
      <c r="K503" s="239"/>
      <c r="L503" s="239"/>
      <c r="M503" s="239"/>
      <c r="N503" s="239"/>
      <c r="O503" s="239"/>
      <c r="P503" s="239"/>
      <c r="Q503" s="239"/>
      <c r="R503" s="239"/>
      <c r="S503" s="239"/>
      <c r="T503" s="239"/>
      <c r="U503"/>
      <c r="V503"/>
      <c r="W503"/>
      <c r="X503"/>
      <c r="Y503"/>
      <c r="Z503"/>
      <c r="AA503"/>
    </row>
    <row r="504" spans="1:27" hidden="1" x14ac:dyDescent="0.2">
      <c r="A504" s="240"/>
      <c r="B504" s="318"/>
      <c r="C504" s="240"/>
      <c r="D504" s="241"/>
      <c r="E504" s="270"/>
      <c r="F504" s="271"/>
      <c r="G504" s="239"/>
      <c r="H504" s="239"/>
      <c r="I504" s="239"/>
      <c r="J504" s="239"/>
      <c r="K504" s="239"/>
      <c r="L504" s="239"/>
      <c r="M504" s="239"/>
      <c r="N504" s="239"/>
      <c r="O504" s="239"/>
      <c r="P504" s="239"/>
      <c r="Q504" s="239"/>
      <c r="R504" s="239"/>
      <c r="S504" s="239"/>
      <c r="T504" s="239"/>
      <c r="U504"/>
      <c r="V504"/>
      <c r="W504"/>
      <c r="X504"/>
      <c r="Y504"/>
      <c r="Z504"/>
      <c r="AA504"/>
    </row>
    <row r="505" spans="1:27" hidden="1" x14ac:dyDescent="0.2">
      <c r="A505" s="240"/>
      <c r="B505" s="318"/>
      <c r="C505" s="240"/>
      <c r="D505" s="241"/>
      <c r="E505" s="270"/>
      <c r="F505" s="271"/>
      <c r="G505" s="239"/>
      <c r="H505" s="239"/>
      <c r="I505" s="239"/>
      <c r="J505" s="239"/>
      <c r="K505" s="239"/>
      <c r="L505" s="239"/>
      <c r="M505" s="239"/>
      <c r="N505" s="239"/>
      <c r="O505" s="239"/>
      <c r="P505" s="239"/>
      <c r="Q505" s="239"/>
      <c r="R505" s="239"/>
      <c r="S505" s="239"/>
      <c r="T505" s="239"/>
      <c r="U505"/>
      <c r="V505"/>
      <c r="W505"/>
      <c r="X505"/>
      <c r="Y505"/>
      <c r="Z505"/>
      <c r="AA505"/>
    </row>
    <row r="506" spans="1:27" hidden="1" x14ac:dyDescent="0.2">
      <c r="A506" s="240"/>
      <c r="B506" s="318"/>
      <c r="C506" s="240"/>
      <c r="D506" s="241"/>
      <c r="E506" s="270"/>
      <c r="F506" s="271"/>
      <c r="G506" s="239"/>
      <c r="H506" s="239"/>
      <c r="I506" s="239"/>
      <c r="J506" s="239"/>
      <c r="K506" s="239"/>
      <c r="L506" s="239"/>
      <c r="M506" s="239"/>
      <c r="N506" s="239"/>
      <c r="O506" s="239"/>
      <c r="P506" s="239"/>
      <c r="Q506" s="239"/>
      <c r="R506" s="239"/>
      <c r="S506" s="239"/>
      <c r="T506" s="239"/>
      <c r="U506"/>
      <c r="V506"/>
      <c r="W506"/>
      <c r="X506"/>
      <c r="Y506"/>
      <c r="Z506"/>
      <c r="AA506"/>
    </row>
    <row r="507" spans="1:27" hidden="1" x14ac:dyDescent="0.2">
      <c r="A507" s="240"/>
      <c r="B507" s="318"/>
      <c r="C507" s="240"/>
      <c r="D507" s="241"/>
      <c r="E507" s="270"/>
      <c r="F507" s="271"/>
      <c r="G507" s="239"/>
      <c r="H507" s="239"/>
      <c r="I507" s="239"/>
      <c r="J507" s="239"/>
      <c r="K507" s="239"/>
      <c r="L507" s="239"/>
      <c r="M507" s="239"/>
      <c r="N507" s="239"/>
      <c r="O507" s="239"/>
      <c r="P507" s="239"/>
      <c r="Q507" s="239"/>
      <c r="R507" s="239"/>
      <c r="S507" s="239"/>
      <c r="T507" s="239"/>
      <c r="U507"/>
      <c r="V507"/>
      <c r="W507"/>
      <c r="X507"/>
      <c r="Y507"/>
      <c r="Z507"/>
      <c r="AA507"/>
    </row>
    <row r="508" spans="1:27" hidden="1" x14ac:dyDescent="0.2">
      <c r="A508" s="240"/>
      <c r="B508" s="318"/>
      <c r="C508" s="240"/>
      <c r="D508" s="241"/>
      <c r="E508" s="270"/>
      <c r="F508" s="271"/>
      <c r="G508" s="239"/>
      <c r="H508" s="239"/>
      <c r="I508" s="239"/>
      <c r="J508" s="239"/>
      <c r="K508" s="239"/>
      <c r="L508" s="239"/>
      <c r="M508" s="239"/>
      <c r="N508" s="239"/>
      <c r="O508" s="239"/>
      <c r="P508" s="239"/>
      <c r="Q508" s="239"/>
      <c r="R508" s="239"/>
      <c r="S508" s="239"/>
      <c r="T508" s="239"/>
      <c r="U508"/>
      <c r="V508"/>
      <c r="W508"/>
      <c r="X508"/>
      <c r="Y508"/>
      <c r="Z508"/>
      <c r="AA508"/>
    </row>
    <row r="509" spans="1:27" hidden="1" x14ac:dyDescent="0.2">
      <c r="A509" s="240"/>
      <c r="B509" s="318"/>
      <c r="C509" s="240"/>
      <c r="D509" s="241"/>
      <c r="E509" s="270"/>
      <c r="F509" s="271"/>
      <c r="G509" s="239"/>
      <c r="H509" s="239"/>
      <c r="I509" s="239"/>
      <c r="J509" s="239"/>
      <c r="K509" s="239"/>
      <c r="L509" s="239"/>
      <c r="M509" s="239"/>
      <c r="N509" s="239"/>
      <c r="O509" s="239"/>
      <c r="P509" s="239"/>
      <c r="Q509" s="239"/>
      <c r="R509" s="239"/>
      <c r="S509" s="239"/>
      <c r="T509" s="239"/>
      <c r="U509"/>
      <c r="V509"/>
      <c r="W509"/>
      <c r="X509"/>
      <c r="Y509"/>
      <c r="Z509"/>
      <c r="AA509"/>
    </row>
    <row r="510" spans="1:27" hidden="1" x14ac:dyDescent="0.2">
      <c r="A510" s="240"/>
      <c r="B510" s="318"/>
      <c r="C510" s="240"/>
      <c r="D510" s="241"/>
      <c r="E510" s="270"/>
      <c r="F510" s="271"/>
      <c r="G510" s="239"/>
      <c r="H510" s="239"/>
      <c r="I510" s="239"/>
      <c r="J510" s="239"/>
      <c r="K510" s="239"/>
      <c r="L510" s="239"/>
      <c r="M510" s="239"/>
      <c r="N510" s="239"/>
      <c r="O510" s="239"/>
      <c r="P510" s="239"/>
      <c r="Q510" s="239"/>
      <c r="R510" s="239"/>
      <c r="S510" s="239"/>
      <c r="T510" s="239"/>
      <c r="U510"/>
      <c r="V510"/>
      <c r="W510"/>
      <c r="X510"/>
      <c r="Y510"/>
      <c r="Z510"/>
      <c r="AA510"/>
    </row>
    <row r="511" spans="1:27" hidden="1" x14ac:dyDescent="0.2">
      <c r="A511" s="240"/>
      <c r="B511" s="318"/>
      <c r="C511" s="240"/>
      <c r="D511" s="241"/>
      <c r="E511" s="270"/>
      <c r="F511" s="271"/>
      <c r="G511" s="239"/>
      <c r="H511" s="239"/>
      <c r="I511" s="239"/>
      <c r="J511" s="239"/>
      <c r="K511" s="239"/>
      <c r="L511" s="239"/>
      <c r="M511" s="239"/>
      <c r="N511" s="239"/>
      <c r="O511" s="239"/>
      <c r="P511" s="239"/>
      <c r="Q511" s="239"/>
      <c r="R511" s="239"/>
      <c r="S511" s="239"/>
      <c r="T511" s="239"/>
      <c r="U511"/>
      <c r="V511"/>
      <c r="W511"/>
      <c r="X511"/>
      <c r="Y511"/>
      <c r="Z511"/>
      <c r="AA511"/>
    </row>
    <row r="512" spans="1:27" hidden="1" x14ac:dyDescent="0.2">
      <c r="A512" s="240"/>
      <c r="B512" s="318"/>
      <c r="C512" s="240"/>
      <c r="D512" s="241"/>
      <c r="E512" s="270"/>
      <c r="F512" s="271"/>
      <c r="G512" s="239"/>
      <c r="H512" s="239"/>
      <c r="I512" s="239"/>
      <c r="J512" s="239"/>
      <c r="K512" s="239"/>
      <c r="L512" s="239"/>
      <c r="M512" s="239"/>
      <c r="N512" s="239"/>
      <c r="O512" s="239"/>
      <c r="P512" s="239"/>
      <c r="Q512" s="239"/>
      <c r="R512" s="239"/>
      <c r="S512" s="239"/>
      <c r="T512" s="239"/>
      <c r="U512"/>
      <c r="V512"/>
      <c r="W512"/>
      <c r="X512"/>
      <c r="Y512"/>
      <c r="Z512"/>
      <c r="AA512"/>
    </row>
    <row r="513" spans="1:27" hidden="1" x14ac:dyDescent="0.2">
      <c r="A513" s="240"/>
      <c r="B513" s="318"/>
      <c r="C513" s="240"/>
      <c r="D513" s="241"/>
      <c r="E513" s="270"/>
      <c r="F513" s="271"/>
      <c r="G513" s="239"/>
      <c r="H513" s="239"/>
      <c r="I513" s="239"/>
      <c r="J513" s="239"/>
      <c r="K513" s="239"/>
      <c r="L513" s="239"/>
      <c r="M513" s="239"/>
      <c r="N513" s="239"/>
      <c r="O513" s="239"/>
      <c r="P513" s="239"/>
      <c r="Q513" s="239"/>
      <c r="R513" s="239"/>
      <c r="S513" s="239"/>
      <c r="T513" s="239"/>
      <c r="U513"/>
      <c r="V513"/>
      <c r="W513"/>
      <c r="X513"/>
      <c r="Y513"/>
      <c r="Z513"/>
      <c r="AA513"/>
    </row>
    <row r="514" spans="1:27" hidden="1" x14ac:dyDescent="0.2">
      <c r="A514" s="240"/>
      <c r="B514" s="318"/>
      <c r="C514" s="240"/>
      <c r="D514" s="241"/>
      <c r="E514" s="270"/>
      <c r="F514" s="271"/>
      <c r="G514" s="239"/>
      <c r="H514" s="239"/>
      <c r="I514" s="239"/>
      <c r="J514" s="239"/>
      <c r="K514" s="239"/>
      <c r="L514" s="239"/>
      <c r="M514" s="239"/>
      <c r="N514" s="239"/>
      <c r="O514" s="239"/>
      <c r="P514" s="239"/>
      <c r="Q514" s="239"/>
      <c r="R514" s="239"/>
      <c r="S514" s="239"/>
      <c r="T514" s="239"/>
      <c r="U514"/>
      <c r="V514"/>
      <c r="W514"/>
      <c r="X514"/>
      <c r="Y514"/>
      <c r="Z514"/>
      <c r="AA514"/>
    </row>
    <row r="515" spans="1:27" hidden="1" x14ac:dyDescent="0.2">
      <c r="A515" s="240"/>
      <c r="B515" s="318"/>
      <c r="C515" s="240"/>
      <c r="D515" s="241"/>
      <c r="E515" s="270"/>
      <c r="F515" s="271"/>
      <c r="G515" s="239"/>
      <c r="H515" s="239"/>
      <c r="I515" s="239"/>
      <c r="J515" s="239"/>
      <c r="K515" s="239"/>
      <c r="L515" s="239"/>
      <c r="M515" s="239"/>
      <c r="N515" s="239"/>
      <c r="O515" s="239"/>
      <c r="P515" s="239"/>
      <c r="Q515" s="239"/>
      <c r="R515" s="239"/>
      <c r="S515" s="239"/>
      <c r="T515" s="239"/>
      <c r="U515"/>
      <c r="V515"/>
      <c r="W515"/>
      <c r="X515"/>
      <c r="Y515"/>
      <c r="Z515"/>
      <c r="AA515"/>
    </row>
    <row r="516" spans="1:27" hidden="1" x14ac:dyDescent="0.2">
      <c r="A516" s="240"/>
      <c r="B516" s="318"/>
      <c r="C516" s="240"/>
      <c r="D516" s="241"/>
      <c r="E516" s="270"/>
      <c r="F516" s="271"/>
      <c r="G516" s="239"/>
      <c r="H516" s="239"/>
      <c r="I516" s="239"/>
      <c r="J516" s="239"/>
      <c r="K516" s="239"/>
      <c r="L516" s="239"/>
      <c r="M516" s="239"/>
      <c r="N516" s="239"/>
      <c r="O516" s="239"/>
      <c r="P516" s="239"/>
      <c r="Q516" s="239"/>
      <c r="R516" s="239"/>
      <c r="S516" s="239"/>
      <c r="T516" s="239"/>
      <c r="U516"/>
      <c r="V516"/>
      <c r="W516"/>
      <c r="X516"/>
      <c r="Y516"/>
      <c r="Z516"/>
      <c r="AA516"/>
    </row>
    <row r="517" spans="1:27" hidden="1" x14ac:dyDescent="0.2">
      <c r="A517" s="240"/>
      <c r="B517" s="318"/>
      <c r="C517" s="240"/>
      <c r="D517" s="241"/>
      <c r="E517" s="270"/>
      <c r="F517" s="271"/>
      <c r="G517" s="239"/>
      <c r="H517" s="239"/>
      <c r="I517" s="239"/>
      <c r="J517" s="239"/>
      <c r="K517" s="239"/>
      <c r="L517" s="239"/>
      <c r="M517" s="239"/>
      <c r="N517" s="239"/>
      <c r="O517" s="239"/>
      <c r="P517" s="239"/>
      <c r="Q517" s="239"/>
      <c r="R517" s="239"/>
      <c r="S517" s="239"/>
      <c r="T517" s="239"/>
      <c r="U517"/>
      <c r="V517"/>
      <c r="W517"/>
      <c r="X517"/>
      <c r="Y517"/>
      <c r="Z517"/>
      <c r="AA517"/>
    </row>
    <row r="518" spans="1:27" hidden="1" x14ac:dyDescent="0.2">
      <c r="A518" s="240"/>
      <c r="B518" s="318"/>
      <c r="C518" s="240"/>
      <c r="D518" s="241"/>
      <c r="E518" s="270"/>
      <c r="F518" s="271"/>
      <c r="G518" s="239"/>
      <c r="H518" s="239"/>
      <c r="I518" s="239"/>
      <c r="J518" s="239"/>
      <c r="K518" s="239"/>
      <c r="L518" s="239"/>
      <c r="M518" s="239"/>
      <c r="N518" s="239"/>
      <c r="O518" s="239"/>
      <c r="P518" s="239"/>
      <c r="Q518" s="239"/>
      <c r="R518" s="239"/>
      <c r="S518" s="239"/>
      <c r="T518" s="239"/>
      <c r="U518"/>
      <c r="V518"/>
      <c r="W518"/>
      <c r="X518"/>
      <c r="Y518"/>
      <c r="Z518"/>
      <c r="AA518"/>
    </row>
    <row r="519" spans="1:27" hidden="1" x14ac:dyDescent="0.2">
      <c r="A519" s="240"/>
      <c r="B519" s="318"/>
      <c r="C519" s="240"/>
      <c r="D519" s="241"/>
      <c r="E519" s="270"/>
      <c r="F519" s="271"/>
      <c r="G519" s="239"/>
      <c r="H519" s="239"/>
      <c r="I519" s="239"/>
      <c r="J519" s="239"/>
      <c r="K519" s="239"/>
      <c r="L519" s="239"/>
      <c r="M519" s="239"/>
      <c r="N519" s="239"/>
      <c r="O519" s="239"/>
      <c r="P519" s="239"/>
      <c r="Q519" s="239"/>
      <c r="R519" s="239"/>
      <c r="S519" s="239"/>
      <c r="T519" s="239"/>
      <c r="U519"/>
      <c r="V519"/>
      <c r="W519"/>
      <c r="X519"/>
      <c r="Y519"/>
      <c r="Z519"/>
      <c r="AA519"/>
    </row>
    <row r="520" spans="1:27" hidden="1" x14ac:dyDescent="0.2">
      <c r="A520" s="240"/>
      <c r="B520" s="318"/>
      <c r="C520" s="240"/>
      <c r="D520" s="241"/>
      <c r="E520" s="270"/>
      <c r="F520" s="271"/>
      <c r="G520" s="239"/>
      <c r="H520" s="239"/>
      <c r="I520" s="239"/>
      <c r="J520" s="239"/>
      <c r="K520" s="239"/>
      <c r="L520" s="239"/>
      <c r="M520" s="239"/>
      <c r="N520" s="239"/>
      <c r="O520" s="239"/>
      <c r="P520" s="239"/>
      <c r="Q520" s="239"/>
      <c r="R520" s="239"/>
      <c r="S520" s="239"/>
      <c r="T520" s="239"/>
      <c r="U520"/>
      <c r="V520"/>
      <c r="W520"/>
      <c r="X520"/>
      <c r="Y520"/>
      <c r="Z520"/>
      <c r="AA520"/>
    </row>
    <row r="521" spans="1:27" hidden="1" x14ac:dyDescent="0.2">
      <c r="A521" s="240"/>
      <c r="B521" s="318"/>
      <c r="C521" s="240"/>
      <c r="D521" s="241"/>
      <c r="E521" s="270"/>
      <c r="F521" s="271"/>
      <c r="G521" s="239"/>
      <c r="H521" s="239"/>
      <c r="I521" s="239"/>
      <c r="J521" s="239"/>
      <c r="K521" s="239"/>
      <c r="L521" s="239"/>
      <c r="M521" s="239"/>
      <c r="N521" s="239"/>
      <c r="O521" s="239"/>
      <c r="P521" s="239"/>
      <c r="Q521" s="239"/>
      <c r="R521" s="239"/>
      <c r="S521" s="239"/>
      <c r="T521" s="239"/>
      <c r="U521"/>
      <c r="V521"/>
      <c r="W521"/>
      <c r="X521"/>
      <c r="Y521"/>
      <c r="Z521"/>
      <c r="AA521"/>
    </row>
    <row r="522" spans="1:27" hidden="1" x14ac:dyDescent="0.2">
      <c r="A522" s="240"/>
      <c r="B522" s="318"/>
      <c r="C522" s="240"/>
      <c r="D522" s="241"/>
      <c r="E522" s="270"/>
      <c r="F522" s="271"/>
      <c r="G522" s="239"/>
      <c r="H522" s="239"/>
      <c r="I522" s="239"/>
      <c r="J522" s="239"/>
      <c r="K522" s="239"/>
      <c r="L522" s="239"/>
      <c r="M522" s="239"/>
      <c r="N522" s="239"/>
      <c r="O522" s="239"/>
      <c r="P522" s="239"/>
      <c r="Q522" s="239"/>
      <c r="R522" s="239"/>
      <c r="S522" s="239"/>
      <c r="T522" s="239"/>
      <c r="U522"/>
      <c r="V522"/>
      <c r="W522"/>
      <c r="X522"/>
      <c r="Y522"/>
      <c r="Z522"/>
      <c r="AA522"/>
    </row>
    <row r="523" spans="1:27" hidden="1" x14ac:dyDescent="0.2">
      <c r="A523" s="240"/>
      <c r="B523" s="318"/>
      <c r="C523" s="240"/>
      <c r="D523" s="241"/>
      <c r="E523" s="270"/>
      <c r="F523" s="271"/>
      <c r="G523" s="239"/>
      <c r="H523" s="239"/>
      <c r="I523" s="239"/>
      <c r="J523" s="239"/>
      <c r="K523" s="239"/>
      <c r="L523" s="239"/>
      <c r="M523" s="239"/>
      <c r="N523" s="239"/>
      <c r="O523" s="239"/>
      <c r="P523" s="239"/>
      <c r="Q523" s="239"/>
      <c r="R523" s="239"/>
      <c r="S523" s="239"/>
      <c r="T523" s="239"/>
      <c r="U523"/>
      <c r="V523"/>
      <c r="W523"/>
      <c r="X523"/>
      <c r="Y523"/>
      <c r="Z523"/>
      <c r="AA523"/>
    </row>
    <row r="524" spans="1:27" hidden="1" x14ac:dyDescent="0.2">
      <c r="A524" s="240"/>
      <c r="B524" s="318"/>
      <c r="C524" s="240"/>
      <c r="D524" s="241"/>
      <c r="E524" s="270"/>
      <c r="F524" s="271"/>
      <c r="G524" s="239"/>
      <c r="H524" s="239"/>
      <c r="I524" s="239"/>
      <c r="J524" s="239"/>
      <c r="K524" s="239"/>
      <c r="L524" s="239"/>
      <c r="M524" s="239"/>
      <c r="N524" s="239"/>
      <c r="O524" s="239"/>
      <c r="P524" s="239"/>
      <c r="Q524" s="239"/>
      <c r="R524" s="239"/>
      <c r="S524" s="239"/>
      <c r="T524" s="239"/>
      <c r="U524"/>
      <c r="V524"/>
      <c r="W524"/>
      <c r="X524"/>
      <c r="Y524"/>
      <c r="Z524"/>
      <c r="AA524"/>
    </row>
    <row r="525" spans="1:27" hidden="1" x14ac:dyDescent="0.2">
      <c r="A525" s="240"/>
      <c r="B525" s="318"/>
      <c r="C525" s="240"/>
      <c r="D525" s="241"/>
      <c r="E525" s="270"/>
      <c r="F525" s="271"/>
      <c r="G525" s="239"/>
      <c r="H525" s="239"/>
      <c r="I525" s="239"/>
      <c r="J525" s="239"/>
      <c r="K525" s="239"/>
      <c r="L525" s="239"/>
      <c r="M525" s="239"/>
      <c r="N525" s="239"/>
      <c r="O525" s="239"/>
      <c r="P525" s="239"/>
      <c r="Q525" s="239"/>
      <c r="R525" s="239"/>
      <c r="S525" s="239"/>
      <c r="T525" s="239"/>
      <c r="U525"/>
      <c r="V525"/>
      <c r="W525"/>
      <c r="X525"/>
      <c r="Y525"/>
      <c r="Z525"/>
      <c r="AA525"/>
    </row>
    <row r="526" spans="1:27" hidden="1" x14ac:dyDescent="0.2">
      <c r="A526" s="240"/>
      <c r="B526" s="318"/>
      <c r="C526" s="240"/>
      <c r="D526" s="241"/>
      <c r="E526" s="270"/>
      <c r="F526" s="271"/>
      <c r="G526" s="239"/>
      <c r="H526" s="239"/>
      <c r="I526" s="239"/>
      <c r="J526" s="239"/>
      <c r="K526" s="239"/>
      <c r="L526" s="239"/>
      <c r="M526" s="239"/>
      <c r="N526" s="239"/>
      <c r="O526" s="239"/>
      <c r="P526" s="239"/>
      <c r="Q526" s="239"/>
      <c r="R526" s="239"/>
      <c r="S526" s="239"/>
      <c r="T526" s="239"/>
      <c r="U526"/>
      <c r="V526"/>
      <c r="W526"/>
      <c r="X526"/>
      <c r="Y526"/>
      <c r="Z526"/>
      <c r="AA526"/>
    </row>
    <row r="527" spans="1:27" hidden="1" x14ac:dyDescent="0.2">
      <c r="A527" s="240"/>
      <c r="B527" s="318"/>
      <c r="C527" s="240"/>
      <c r="D527" s="241"/>
      <c r="E527" s="270"/>
      <c r="F527" s="271"/>
      <c r="G527" s="239"/>
      <c r="H527" s="239"/>
      <c r="I527" s="239"/>
      <c r="J527" s="239"/>
      <c r="K527" s="239"/>
      <c r="L527" s="239"/>
      <c r="M527" s="239"/>
      <c r="N527" s="239"/>
      <c r="O527" s="239"/>
      <c r="P527" s="239"/>
      <c r="Q527" s="239"/>
      <c r="R527" s="239"/>
      <c r="S527" s="239"/>
      <c r="T527" s="239"/>
      <c r="U527"/>
      <c r="V527"/>
      <c r="W527"/>
      <c r="X527"/>
      <c r="Y527"/>
      <c r="Z527"/>
      <c r="AA527"/>
    </row>
    <row r="528" spans="1:27" hidden="1" x14ac:dyDescent="0.2">
      <c r="A528" s="240"/>
      <c r="B528" s="318"/>
      <c r="C528" s="240"/>
      <c r="D528" s="241"/>
      <c r="E528" s="270"/>
      <c r="F528" s="271"/>
      <c r="G528" s="239"/>
      <c r="H528" s="239"/>
      <c r="I528" s="239"/>
      <c r="J528" s="239"/>
      <c r="K528" s="239"/>
      <c r="L528" s="239"/>
      <c r="M528" s="239"/>
      <c r="N528" s="239"/>
      <c r="O528" s="239"/>
      <c r="P528" s="239"/>
      <c r="Q528" s="239"/>
      <c r="R528" s="239"/>
      <c r="S528" s="239"/>
      <c r="T528" s="239"/>
      <c r="U528"/>
      <c r="V528"/>
      <c r="W528"/>
      <c r="X528"/>
      <c r="Y528"/>
      <c r="Z528"/>
      <c r="AA528"/>
    </row>
    <row r="529" spans="1:27" hidden="1" x14ac:dyDescent="0.2">
      <c r="A529" s="240"/>
      <c r="B529" s="318"/>
      <c r="C529" s="240"/>
      <c r="D529" s="241"/>
      <c r="E529" s="270"/>
      <c r="F529" s="271"/>
      <c r="G529" s="239"/>
      <c r="H529" s="239"/>
      <c r="I529" s="239"/>
      <c r="J529" s="239"/>
      <c r="K529" s="239"/>
      <c r="L529" s="239"/>
      <c r="M529" s="239"/>
      <c r="N529" s="239"/>
      <c r="O529" s="239"/>
      <c r="P529" s="239"/>
      <c r="Q529" s="239"/>
      <c r="R529" s="239"/>
      <c r="S529" s="239"/>
      <c r="T529" s="239"/>
      <c r="U529"/>
      <c r="V529"/>
      <c r="W529"/>
      <c r="X529"/>
      <c r="Y529"/>
      <c r="Z529"/>
      <c r="AA529"/>
    </row>
    <row r="530" spans="1:27" hidden="1" x14ac:dyDescent="0.2">
      <c r="A530" s="240"/>
      <c r="B530" s="318"/>
      <c r="C530" s="240"/>
      <c r="D530" s="241"/>
      <c r="E530" s="270"/>
      <c r="F530" s="271"/>
      <c r="G530" s="239"/>
      <c r="H530" s="239"/>
      <c r="I530" s="239"/>
      <c r="J530" s="239"/>
      <c r="K530" s="239"/>
      <c r="L530" s="239"/>
      <c r="M530" s="239"/>
      <c r="N530" s="239"/>
      <c r="O530" s="239"/>
      <c r="P530" s="239"/>
      <c r="Q530" s="239"/>
      <c r="R530" s="239"/>
      <c r="S530" s="239"/>
      <c r="T530" s="239"/>
      <c r="U530"/>
      <c r="V530"/>
      <c r="W530"/>
      <c r="X530"/>
      <c r="Y530"/>
      <c r="Z530"/>
      <c r="AA530"/>
    </row>
    <row r="531" spans="1:27" hidden="1" x14ac:dyDescent="0.2">
      <c r="A531" s="240"/>
      <c r="B531" s="318"/>
      <c r="C531" s="240"/>
      <c r="D531" s="241"/>
      <c r="E531" s="270"/>
      <c r="F531" s="271"/>
      <c r="G531" s="239"/>
      <c r="H531" s="239"/>
      <c r="I531" s="239"/>
      <c r="J531" s="239"/>
      <c r="K531" s="239"/>
      <c r="L531" s="239"/>
      <c r="M531" s="239"/>
      <c r="N531" s="239"/>
      <c r="O531" s="239"/>
      <c r="P531" s="239"/>
      <c r="Q531" s="239"/>
      <c r="R531" s="239"/>
      <c r="S531" s="239"/>
      <c r="T531" s="239"/>
      <c r="U531"/>
      <c r="V531"/>
      <c r="W531"/>
      <c r="X531"/>
      <c r="Y531"/>
      <c r="Z531"/>
      <c r="AA531"/>
    </row>
    <row r="532" spans="1:27" hidden="1" x14ac:dyDescent="0.2">
      <c r="A532" s="240"/>
      <c r="B532" s="318"/>
      <c r="C532" s="240"/>
      <c r="D532" s="241"/>
      <c r="E532" s="270"/>
      <c r="F532" s="271"/>
      <c r="G532" s="239"/>
      <c r="H532" s="239"/>
      <c r="I532" s="239"/>
      <c r="J532" s="239"/>
      <c r="K532" s="239"/>
      <c r="L532" s="239"/>
      <c r="M532" s="239"/>
      <c r="N532" s="239"/>
      <c r="O532" s="239"/>
      <c r="P532" s="239"/>
      <c r="Q532" s="239"/>
      <c r="R532" s="239"/>
      <c r="S532" s="239"/>
      <c r="T532" s="239"/>
      <c r="U532"/>
      <c r="V532"/>
      <c r="W532"/>
      <c r="X532"/>
      <c r="Y532"/>
      <c r="Z532"/>
      <c r="AA532"/>
    </row>
    <row r="533" spans="1:27" hidden="1" x14ac:dyDescent="0.2">
      <c r="A533" s="240"/>
      <c r="B533" s="318"/>
      <c r="C533" s="240"/>
      <c r="D533" s="241"/>
      <c r="E533" s="270"/>
      <c r="F533" s="271"/>
      <c r="G533" s="239"/>
      <c r="H533" s="239"/>
      <c r="I533" s="239"/>
      <c r="J533" s="239"/>
      <c r="K533" s="239"/>
      <c r="L533" s="239"/>
      <c r="M533" s="239"/>
      <c r="N533" s="239"/>
      <c r="O533" s="239"/>
      <c r="P533" s="239"/>
      <c r="Q533" s="239"/>
      <c r="R533" s="239"/>
      <c r="S533" s="239"/>
      <c r="T533" s="239"/>
      <c r="U533"/>
      <c r="V533"/>
      <c r="W533"/>
      <c r="X533"/>
      <c r="Y533"/>
      <c r="Z533"/>
      <c r="AA533"/>
    </row>
    <row r="534" spans="1:27" hidden="1" x14ac:dyDescent="0.2">
      <c r="A534" s="240"/>
      <c r="B534" s="318"/>
      <c r="C534" s="240"/>
      <c r="D534" s="241"/>
      <c r="E534" s="270"/>
      <c r="F534" s="271"/>
      <c r="G534" s="239"/>
      <c r="H534" s="239"/>
      <c r="I534" s="239"/>
      <c r="J534" s="239"/>
      <c r="K534" s="239"/>
      <c r="L534" s="239"/>
      <c r="M534" s="239"/>
      <c r="N534" s="239"/>
      <c r="O534" s="239"/>
      <c r="P534" s="239"/>
      <c r="Q534" s="239"/>
      <c r="R534" s="239"/>
      <c r="S534" s="239"/>
      <c r="T534" s="239"/>
      <c r="U534"/>
      <c r="V534"/>
      <c r="W534"/>
      <c r="X534"/>
      <c r="Y534"/>
      <c r="Z534"/>
      <c r="AA534"/>
    </row>
    <row r="535" spans="1:27" hidden="1" x14ac:dyDescent="0.2">
      <c r="A535" s="240"/>
      <c r="B535" s="318"/>
      <c r="C535" s="240"/>
      <c r="D535" s="241"/>
      <c r="E535" s="270"/>
      <c r="F535" s="271"/>
      <c r="G535" s="239"/>
      <c r="H535" s="239"/>
      <c r="I535" s="239"/>
      <c r="J535" s="239"/>
      <c r="K535" s="239"/>
      <c r="L535" s="239"/>
      <c r="M535" s="239"/>
      <c r="N535" s="239"/>
      <c r="O535" s="239"/>
      <c r="P535" s="239"/>
      <c r="Q535" s="239"/>
      <c r="R535" s="239"/>
      <c r="S535" s="239"/>
      <c r="T535" s="239"/>
      <c r="U535"/>
      <c r="V535"/>
      <c r="W535"/>
      <c r="X535"/>
      <c r="Y535"/>
      <c r="Z535"/>
      <c r="AA535"/>
    </row>
    <row r="536" spans="1:27" hidden="1" x14ac:dyDescent="0.2">
      <c r="A536" s="240"/>
      <c r="B536" s="318"/>
      <c r="C536" s="240"/>
      <c r="D536" s="241"/>
      <c r="E536" s="270"/>
      <c r="F536" s="271"/>
      <c r="G536" s="239"/>
      <c r="H536" s="239"/>
      <c r="I536" s="239"/>
      <c r="J536" s="239"/>
      <c r="K536" s="239"/>
      <c r="L536" s="239"/>
      <c r="M536" s="239"/>
      <c r="N536" s="239"/>
      <c r="O536" s="239"/>
      <c r="P536" s="239"/>
      <c r="Q536" s="239"/>
      <c r="R536" s="239"/>
      <c r="S536" s="239"/>
      <c r="T536" s="239"/>
      <c r="U536"/>
      <c r="V536"/>
      <c r="W536"/>
      <c r="X536"/>
      <c r="Y536"/>
      <c r="Z536"/>
      <c r="AA536"/>
    </row>
    <row r="537" spans="1:27" hidden="1" x14ac:dyDescent="0.2">
      <c r="A537" s="240"/>
      <c r="B537" s="318"/>
      <c r="C537" s="240"/>
      <c r="D537" s="241"/>
      <c r="E537" s="270"/>
      <c r="F537" s="271"/>
      <c r="G537" s="239"/>
      <c r="H537" s="239"/>
      <c r="I537" s="239"/>
      <c r="J537" s="239"/>
      <c r="K537" s="239"/>
      <c r="L537" s="239"/>
      <c r="M537" s="239"/>
      <c r="N537" s="239"/>
      <c r="O537" s="239"/>
      <c r="P537" s="239"/>
      <c r="Q537" s="239"/>
      <c r="R537" s="239"/>
      <c r="S537" s="239"/>
      <c r="T537" s="239"/>
      <c r="U537"/>
      <c r="V537"/>
      <c r="W537"/>
      <c r="X537"/>
      <c r="Y537"/>
      <c r="Z537"/>
      <c r="AA537"/>
    </row>
    <row r="538" spans="1:27" hidden="1" x14ac:dyDescent="0.2">
      <c r="A538" s="240"/>
      <c r="B538" s="318"/>
      <c r="C538" s="240"/>
      <c r="D538" s="241"/>
      <c r="E538" s="270"/>
      <c r="F538" s="271"/>
      <c r="G538" s="239"/>
      <c r="H538" s="239"/>
      <c r="I538" s="239"/>
      <c r="J538" s="239"/>
      <c r="K538" s="239"/>
      <c r="L538" s="239"/>
      <c r="M538" s="239"/>
      <c r="N538" s="239"/>
      <c r="O538" s="239"/>
      <c r="P538" s="239"/>
      <c r="Q538" s="239"/>
      <c r="R538" s="239"/>
      <c r="S538" s="239"/>
      <c r="T538" s="239"/>
      <c r="U538"/>
      <c r="V538"/>
      <c r="W538"/>
      <c r="X538"/>
      <c r="Y538"/>
      <c r="Z538"/>
      <c r="AA538"/>
    </row>
    <row r="539" spans="1:27" hidden="1" x14ac:dyDescent="0.2">
      <c r="A539" s="240"/>
      <c r="B539" s="318"/>
      <c r="C539" s="240"/>
      <c r="D539" s="241"/>
      <c r="E539" s="270"/>
      <c r="F539" s="271"/>
      <c r="G539" s="239"/>
      <c r="H539" s="239"/>
      <c r="I539" s="239"/>
      <c r="J539" s="239"/>
      <c r="K539" s="239"/>
      <c r="L539" s="239"/>
      <c r="M539" s="239"/>
      <c r="N539" s="239"/>
      <c r="O539" s="239"/>
      <c r="P539" s="239"/>
      <c r="Q539" s="239"/>
      <c r="R539" s="239"/>
      <c r="S539" s="239"/>
      <c r="T539" s="239"/>
      <c r="U539"/>
      <c r="V539"/>
      <c r="W539"/>
      <c r="X539"/>
      <c r="Y539"/>
      <c r="Z539"/>
      <c r="AA539"/>
    </row>
    <row r="540" spans="1:27" hidden="1" x14ac:dyDescent="0.2">
      <c r="A540" s="240"/>
      <c r="B540" s="318"/>
      <c r="C540" s="240"/>
      <c r="D540" s="241"/>
      <c r="E540" s="270"/>
      <c r="F540" s="271"/>
      <c r="G540" s="239"/>
      <c r="H540" s="239"/>
      <c r="I540" s="239"/>
      <c r="J540" s="239"/>
      <c r="K540" s="239"/>
      <c r="L540" s="239"/>
      <c r="M540" s="239"/>
      <c r="N540" s="239"/>
      <c r="O540" s="239"/>
      <c r="P540" s="239"/>
      <c r="Q540" s="239"/>
      <c r="R540" s="239"/>
      <c r="S540" s="239"/>
      <c r="T540" s="239"/>
      <c r="U540"/>
      <c r="V540"/>
      <c r="W540"/>
      <c r="X540"/>
      <c r="Y540"/>
      <c r="Z540"/>
      <c r="AA540"/>
    </row>
    <row r="541" spans="1:27" hidden="1" x14ac:dyDescent="0.2">
      <c r="A541" s="240"/>
      <c r="B541" s="318"/>
      <c r="C541" s="240"/>
      <c r="D541" s="241"/>
      <c r="E541" s="270"/>
      <c r="F541" s="271"/>
      <c r="G541" s="239"/>
      <c r="H541" s="239"/>
      <c r="I541" s="239"/>
      <c r="J541" s="239"/>
      <c r="K541" s="239"/>
      <c r="L541" s="239"/>
      <c r="M541" s="239"/>
      <c r="N541" s="239"/>
      <c r="O541" s="239"/>
      <c r="P541" s="239"/>
      <c r="Q541" s="239"/>
      <c r="R541" s="239"/>
      <c r="S541" s="239"/>
      <c r="T541" s="239"/>
      <c r="U541"/>
      <c r="V541"/>
      <c r="W541"/>
      <c r="X541"/>
      <c r="Y541"/>
      <c r="Z541"/>
      <c r="AA541"/>
    </row>
    <row r="542" spans="1:27" hidden="1" x14ac:dyDescent="0.2">
      <c r="A542" s="240"/>
      <c r="B542" s="318"/>
      <c r="C542" s="240"/>
      <c r="D542" s="241"/>
      <c r="E542" s="270"/>
      <c r="F542" s="271"/>
      <c r="G542" s="239"/>
      <c r="H542" s="239"/>
      <c r="I542" s="239"/>
      <c r="J542" s="239"/>
      <c r="K542" s="239"/>
      <c r="L542" s="239"/>
      <c r="M542" s="239"/>
      <c r="N542" s="239"/>
      <c r="O542" s="239"/>
      <c r="P542" s="239"/>
      <c r="Q542" s="239"/>
      <c r="R542" s="239"/>
      <c r="S542" s="239"/>
      <c r="T542" s="239"/>
      <c r="U542"/>
      <c r="V542"/>
      <c r="W542"/>
      <c r="X542"/>
      <c r="Y542"/>
      <c r="Z542"/>
      <c r="AA542"/>
    </row>
    <row r="543" spans="1:27" hidden="1" x14ac:dyDescent="0.2">
      <c r="A543" s="240"/>
      <c r="B543" s="318"/>
      <c r="C543" s="240"/>
      <c r="D543" s="241"/>
      <c r="E543" s="270"/>
      <c r="F543" s="271"/>
      <c r="G543" s="239"/>
      <c r="H543" s="239"/>
      <c r="I543" s="239"/>
      <c r="J543" s="239"/>
      <c r="K543" s="239"/>
      <c r="L543" s="239"/>
      <c r="M543" s="239"/>
      <c r="N543" s="239"/>
      <c r="O543" s="239"/>
      <c r="P543" s="239"/>
      <c r="Q543" s="239"/>
      <c r="R543" s="239"/>
      <c r="S543" s="239"/>
      <c r="T543" s="239"/>
      <c r="U543"/>
      <c r="V543"/>
      <c r="W543"/>
      <c r="X543"/>
      <c r="Y543"/>
      <c r="Z543"/>
      <c r="AA543"/>
    </row>
    <row r="544" spans="1:27" hidden="1" x14ac:dyDescent="0.2">
      <c r="A544" s="240"/>
      <c r="B544" s="318"/>
      <c r="C544" s="240"/>
      <c r="D544" s="241"/>
      <c r="E544" s="270"/>
      <c r="F544" s="271"/>
      <c r="G544" s="239"/>
      <c r="H544" s="239"/>
      <c r="I544" s="239"/>
      <c r="J544" s="239"/>
      <c r="K544" s="239"/>
      <c r="L544" s="239"/>
      <c r="M544" s="239"/>
      <c r="N544" s="239"/>
      <c r="O544" s="239"/>
      <c r="P544" s="239"/>
      <c r="Q544" s="239"/>
      <c r="R544" s="239"/>
      <c r="S544" s="239"/>
      <c r="T544" s="239"/>
      <c r="U544"/>
      <c r="V544"/>
      <c r="W544"/>
      <c r="X544"/>
      <c r="Y544"/>
      <c r="Z544"/>
      <c r="AA544"/>
    </row>
    <row r="545" spans="1:27" hidden="1" x14ac:dyDescent="0.2">
      <c r="A545" s="240"/>
      <c r="B545" s="318"/>
      <c r="C545" s="240"/>
      <c r="D545" s="241"/>
      <c r="E545" s="270"/>
      <c r="F545" s="271"/>
      <c r="G545" s="239"/>
      <c r="H545" s="239"/>
      <c r="I545" s="239"/>
      <c r="J545" s="239"/>
      <c r="K545" s="239"/>
      <c r="L545" s="239"/>
      <c r="M545" s="239"/>
      <c r="N545" s="239"/>
      <c r="O545" s="239"/>
      <c r="P545" s="239"/>
      <c r="Q545" s="239"/>
      <c r="R545" s="239"/>
      <c r="S545" s="239"/>
      <c r="T545" s="239"/>
      <c r="U545"/>
      <c r="V545"/>
      <c r="W545"/>
      <c r="X545"/>
      <c r="Y545"/>
      <c r="Z545"/>
      <c r="AA545"/>
    </row>
    <row r="546" spans="1:27" hidden="1" x14ac:dyDescent="0.2">
      <c r="A546" s="240"/>
      <c r="B546" s="318"/>
      <c r="C546" s="240"/>
      <c r="D546" s="241"/>
      <c r="E546" s="270"/>
      <c r="F546" s="271"/>
      <c r="G546" s="239"/>
      <c r="H546" s="239"/>
      <c r="I546" s="239"/>
      <c r="J546" s="239"/>
      <c r="K546" s="239"/>
      <c r="L546" s="239"/>
      <c r="M546" s="239"/>
      <c r="N546" s="239"/>
      <c r="O546" s="239"/>
      <c r="P546" s="239"/>
      <c r="Q546" s="239"/>
      <c r="R546" s="239"/>
      <c r="S546" s="239"/>
      <c r="T546" s="239"/>
      <c r="U546"/>
      <c r="V546"/>
      <c r="W546"/>
      <c r="X546"/>
      <c r="Y546"/>
      <c r="Z546"/>
      <c r="AA546"/>
    </row>
    <row r="547" spans="1:27" hidden="1" x14ac:dyDescent="0.2">
      <c r="A547" s="240"/>
      <c r="B547" s="318"/>
      <c r="C547" s="240"/>
      <c r="D547" s="241"/>
      <c r="E547" s="270"/>
      <c r="F547" s="271"/>
      <c r="G547" s="239"/>
      <c r="H547" s="239"/>
      <c r="I547" s="239"/>
      <c r="J547" s="239"/>
      <c r="K547" s="239"/>
      <c r="L547" s="239"/>
      <c r="M547" s="239"/>
      <c r="N547" s="239"/>
      <c r="O547" s="239"/>
      <c r="P547" s="239"/>
      <c r="Q547" s="239"/>
      <c r="R547" s="239"/>
      <c r="S547" s="239"/>
      <c r="T547" s="239"/>
      <c r="U547"/>
      <c r="V547"/>
      <c r="W547"/>
      <c r="X547"/>
      <c r="Y547"/>
      <c r="Z547"/>
      <c r="AA547"/>
    </row>
    <row r="548" spans="1:27" hidden="1" x14ac:dyDescent="0.2">
      <c r="A548" s="240"/>
      <c r="B548" s="318"/>
      <c r="C548" s="240"/>
      <c r="D548" s="241"/>
      <c r="E548" s="270"/>
      <c r="F548" s="271"/>
      <c r="G548" s="239"/>
      <c r="H548" s="239"/>
      <c r="I548" s="239"/>
      <c r="J548" s="239"/>
      <c r="K548" s="239"/>
      <c r="L548" s="239"/>
      <c r="M548" s="239"/>
      <c r="N548" s="239"/>
      <c r="O548" s="239"/>
      <c r="P548" s="239"/>
      <c r="Q548" s="239"/>
      <c r="R548" s="239"/>
      <c r="S548" s="239"/>
      <c r="T548" s="239"/>
      <c r="U548"/>
      <c r="V548"/>
      <c r="W548"/>
      <c r="X548"/>
      <c r="Y548"/>
      <c r="Z548"/>
      <c r="AA548"/>
    </row>
    <row r="549" spans="1:27" hidden="1" x14ac:dyDescent="0.2">
      <c r="A549" s="240"/>
      <c r="B549" s="318"/>
      <c r="C549" s="240"/>
      <c r="D549" s="241"/>
      <c r="E549" s="270"/>
      <c r="F549" s="271"/>
      <c r="G549" s="239"/>
      <c r="H549" s="239"/>
      <c r="I549" s="239"/>
      <c r="J549" s="239"/>
      <c r="K549" s="239"/>
      <c r="L549" s="239"/>
      <c r="M549" s="239"/>
      <c r="N549" s="239"/>
      <c r="O549" s="239"/>
      <c r="P549" s="239"/>
      <c r="Q549" s="239"/>
      <c r="R549" s="239"/>
      <c r="S549" s="239"/>
      <c r="T549" s="239"/>
      <c r="U549"/>
      <c r="V549"/>
      <c r="W549"/>
      <c r="X549"/>
      <c r="Y549"/>
      <c r="Z549"/>
      <c r="AA549"/>
    </row>
    <row r="550" spans="1:27" hidden="1" x14ac:dyDescent="0.2">
      <c r="A550" s="240"/>
      <c r="B550" s="318"/>
      <c r="C550" s="240"/>
      <c r="D550" s="241"/>
      <c r="E550" s="270"/>
      <c r="F550" s="271"/>
      <c r="G550" s="239"/>
      <c r="H550" s="239"/>
      <c r="I550" s="239"/>
      <c r="J550" s="239"/>
      <c r="K550" s="239"/>
      <c r="L550" s="239"/>
      <c r="M550" s="239"/>
      <c r="N550" s="239"/>
      <c r="O550" s="239"/>
      <c r="P550" s="239"/>
      <c r="Q550" s="239"/>
      <c r="R550" s="239"/>
      <c r="S550" s="239"/>
      <c r="T550" s="239"/>
      <c r="U550"/>
      <c r="V550"/>
      <c r="W550"/>
      <c r="X550"/>
      <c r="Y550"/>
      <c r="Z550"/>
      <c r="AA550"/>
    </row>
    <row r="551" spans="1:27" hidden="1" x14ac:dyDescent="0.2">
      <c r="A551" s="240"/>
      <c r="B551" s="318"/>
      <c r="C551" s="240"/>
      <c r="D551" s="241"/>
      <c r="E551" s="270"/>
      <c r="F551" s="271"/>
      <c r="G551" s="239"/>
      <c r="H551" s="239"/>
      <c r="I551" s="239"/>
      <c r="J551" s="239"/>
      <c r="K551" s="239"/>
      <c r="L551" s="239"/>
      <c r="M551" s="239"/>
      <c r="N551" s="239"/>
      <c r="O551" s="239"/>
      <c r="P551" s="239"/>
      <c r="Q551" s="239"/>
      <c r="R551" s="239"/>
      <c r="S551" s="239"/>
      <c r="T551" s="239"/>
      <c r="U551"/>
      <c r="V551"/>
      <c r="W551"/>
      <c r="X551"/>
      <c r="Y551"/>
      <c r="Z551"/>
      <c r="AA551"/>
    </row>
    <row r="552" spans="1:27" hidden="1" x14ac:dyDescent="0.2">
      <c r="A552" s="240"/>
      <c r="B552" s="318"/>
      <c r="C552" s="240"/>
      <c r="D552" s="241"/>
      <c r="E552" s="270"/>
      <c r="F552" s="271"/>
      <c r="G552" s="239"/>
      <c r="H552" s="239"/>
      <c r="I552" s="239"/>
      <c r="J552" s="239"/>
      <c r="K552" s="239"/>
      <c r="L552" s="239"/>
      <c r="M552" s="239"/>
      <c r="N552" s="239"/>
      <c r="O552" s="239"/>
      <c r="P552" s="239"/>
      <c r="Q552" s="239"/>
      <c r="R552" s="239"/>
      <c r="S552" s="239"/>
      <c r="T552" s="239"/>
      <c r="U552"/>
      <c r="V552"/>
      <c r="W552"/>
      <c r="X552"/>
      <c r="Y552"/>
      <c r="Z552"/>
      <c r="AA552"/>
    </row>
    <row r="553" spans="1:27" hidden="1" x14ac:dyDescent="0.2">
      <c r="A553" s="240"/>
      <c r="B553" s="318"/>
      <c r="C553" s="240"/>
      <c r="D553" s="241"/>
      <c r="E553" s="270"/>
      <c r="F553" s="271"/>
      <c r="G553" s="239"/>
      <c r="H553" s="239"/>
      <c r="I553" s="239"/>
      <c r="J553" s="239"/>
      <c r="K553" s="239"/>
      <c r="L553" s="239"/>
      <c r="M553" s="239"/>
      <c r="N553" s="239"/>
      <c r="O553" s="239"/>
      <c r="P553" s="239"/>
      <c r="Q553" s="239"/>
      <c r="R553" s="239"/>
      <c r="S553" s="239"/>
      <c r="T553" s="239"/>
      <c r="U553"/>
      <c r="V553"/>
      <c r="W553"/>
      <c r="X553"/>
      <c r="Y553"/>
      <c r="Z553"/>
      <c r="AA553"/>
    </row>
    <row r="554" spans="1:27" hidden="1" x14ac:dyDescent="0.2">
      <c r="A554" s="240"/>
      <c r="B554" s="318"/>
      <c r="C554" s="240"/>
      <c r="D554" s="241"/>
      <c r="E554" s="270"/>
      <c r="F554" s="271"/>
      <c r="G554" s="239"/>
      <c r="H554" s="239"/>
      <c r="I554" s="239"/>
      <c r="J554" s="239"/>
      <c r="K554" s="239"/>
      <c r="L554" s="239"/>
      <c r="M554" s="239"/>
      <c r="N554" s="239"/>
      <c r="O554" s="239"/>
      <c r="P554" s="239"/>
      <c r="Q554" s="239"/>
      <c r="R554" s="239"/>
      <c r="S554" s="239"/>
      <c r="T554" s="239"/>
      <c r="U554"/>
      <c r="V554"/>
      <c r="W554"/>
      <c r="X554"/>
      <c r="Y554"/>
      <c r="Z554"/>
      <c r="AA554"/>
    </row>
    <row r="555" spans="1:27" hidden="1" x14ac:dyDescent="0.2">
      <c r="A555" s="240"/>
      <c r="B555" s="318"/>
      <c r="C555" s="240"/>
      <c r="D555" s="241"/>
      <c r="E555" s="270"/>
      <c r="F555" s="271"/>
      <c r="G555" s="239"/>
      <c r="H555" s="239"/>
      <c r="I555" s="239"/>
      <c r="J555" s="239"/>
      <c r="K555" s="239"/>
      <c r="L555" s="239"/>
      <c r="M555" s="239"/>
      <c r="N555" s="239"/>
      <c r="O555" s="239"/>
      <c r="P555" s="239"/>
      <c r="Q555" s="239"/>
      <c r="R555" s="239"/>
      <c r="S555" s="239"/>
      <c r="T555" s="239"/>
      <c r="U555"/>
      <c r="V555"/>
      <c r="W555"/>
      <c r="X555"/>
      <c r="Y555"/>
      <c r="Z555"/>
      <c r="AA555"/>
    </row>
    <row r="556" spans="1:27" hidden="1" x14ac:dyDescent="0.2">
      <c r="A556" s="240"/>
      <c r="B556" s="318"/>
      <c r="C556" s="240"/>
      <c r="D556" s="241"/>
      <c r="E556" s="270"/>
      <c r="F556" s="271"/>
      <c r="G556" s="239"/>
      <c r="H556" s="239"/>
      <c r="I556" s="239"/>
      <c r="J556" s="239"/>
      <c r="K556" s="239"/>
      <c r="L556" s="239"/>
      <c r="M556" s="239"/>
      <c r="N556" s="239"/>
      <c r="O556" s="239"/>
      <c r="P556" s="239"/>
      <c r="Q556" s="239"/>
      <c r="R556" s="239"/>
      <c r="S556" s="239"/>
      <c r="T556" s="239"/>
      <c r="U556"/>
      <c r="V556"/>
      <c r="W556"/>
      <c r="X556"/>
      <c r="Y556"/>
      <c r="Z556"/>
      <c r="AA556"/>
    </row>
    <row r="557" spans="1:27" hidden="1" x14ac:dyDescent="0.2">
      <c r="A557" s="240"/>
      <c r="B557" s="318"/>
      <c r="C557" s="240"/>
      <c r="D557" s="241"/>
      <c r="E557" s="270"/>
      <c r="F557" s="271"/>
      <c r="G557" s="239"/>
      <c r="H557" s="239"/>
      <c r="I557" s="239"/>
      <c r="J557" s="239"/>
      <c r="K557" s="239"/>
      <c r="L557" s="239"/>
      <c r="M557" s="239"/>
      <c r="N557" s="239"/>
      <c r="O557" s="239"/>
      <c r="P557" s="239"/>
      <c r="Q557" s="239"/>
      <c r="R557" s="239"/>
      <c r="S557" s="239"/>
      <c r="T557" s="239"/>
      <c r="U557"/>
      <c r="V557"/>
      <c r="W557"/>
      <c r="X557"/>
      <c r="Y557"/>
      <c r="Z557"/>
      <c r="AA557"/>
    </row>
    <row r="558" spans="1:27" hidden="1" x14ac:dyDescent="0.2">
      <c r="A558" s="240"/>
      <c r="B558" s="318"/>
      <c r="C558" s="240"/>
      <c r="D558" s="241"/>
      <c r="E558" s="270"/>
      <c r="F558" s="271"/>
      <c r="G558" s="239"/>
      <c r="H558" s="239"/>
      <c r="I558" s="239"/>
      <c r="J558" s="239"/>
      <c r="K558" s="239"/>
      <c r="L558" s="239"/>
      <c r="M558" s="239"/>
      <c r="N558" s="239"/>
      <c r="O558" s="239"/>
      <c r="P558" s="239"/>
      <c r="Q558" s="239"/>
      <c r="R558" s="239"/>
      <c r="S558" s="239"/>
      <c r="T558" s="239"/>
      <c r="U558"/>
      <c r="V558"/>
      <c r="W558"/>
      <c r="X558"/>
      <c r="Y558"/>
      <c r="Z558"/>
      <c r="AA558"/>
    </row>
    <row r="559" spans="1:27" hidden="1" x14ac:dyDescent="0.2">
      <c r="A559" s="240"/>
      <c r="B559" s="318"/>
      <c r="C559" s="240"/>
      <c r="D559" s="241"/>
      <c r="E559" s="270"/>
      <c r="F559" s="271"/>
      <c r="G559" s="239"/>
      <c r="H559" s="239"/>
      <c r="I559" s="239"/>
      <c r="J559" s="239"/>
      <c r="K559" s="239"/>
      <c r="L559" s="239"/>
      <c r="M559" s="239"/>
      <c r="N559" s="239"/>
      <c r="O559" s="239"/>
      <c r="P559" s="239"/>
      <c r="Q559" s="239"/>
      <c r="R559" s="239"/>
      <c r="S559" s="239"/>
      <c r="T559" s="239"/>
      <c r="U559"/>
      <c r="V559"/>
      <c r="W559"/>
      <c r="X559"/>
      <c r="Y559"/>
      <c r="Z559"/>
      <c r="AA559"/>
    </row>
    <row r="560" spans="1:27" hidden="1" x14ac:dyDescent="0.2">
      <c r="A560" s="240"/>
      <c r="B560" s="318"/>
      <c r="C560" s="240"/>
      <c r="D560" s="241"/>
      <c r="E560" s="270"/>
      <c r="F560" s="271"/>
      <c r="G560" s="239"/>
      <c r="H560" s="239"/>
      <c r="I560" s="239"/>
      <c r="J560" s="239"/>
      <c r="K560" s="239"/>
      <c r="L560" s="239"/>
      <c r="M560" s="239"/>
      <c r="N560" s="239"/>
      <c r="O560" s="239"/>
      <c r="P560" s="239"/>
      <c r="Q560" s="239"/>
      <c r="R560" s="239"/>
      <c r="S560" s="239"/>
      <c r="T560" s="239"/>
      <c r="U560"/>
      <c r="V560"/>
      <c r="W560"/>
      <c r="X560"/>
      <c r="Y560"/>
      <c r="Z560"/>
      <c r="AA560"/>
    </row>
    <row r="561" spans="1:27" hidden="1" x14ac:dyDescent="0.2">
      <c r="A561" s="240"/>
      <c r="B561" s="318"/>
      <c r="C561" s="240"/>
      <c r="D561" s="241"/>
      <c r="E561" s="270"/>
      <c r="F561" s="271"/>
      <c r="G561" s="239"/>
      <c r="H561" s="239"/>
      <c r="I561" s="239"/>
      <c r="J561" s="239"/>
      <c r="K561" s="239"/>
      <c r="L561" s="239"/>
      <c r="M561" s="239"/>
      <c r="N561" s="239"/>
      <c r="O561" s="239"/>
      <c r="P561" s="239"/>
      <c r="Q561" s="239"/>
      <c r="R561" s="239"/>
      <c r="S561" s="239"/>
      <c r="T561" s="239"/>
      <c r="U561"/>
      <c r="V561"/>
      <c r="W561"/>
      <c r="X561"/>
      <c r="Y561"/>
      <c r="Z561"/>
      <c r="AA561"/>
    </row>
    <row r="562" spans="1:27" hidden="1" x14ac:dyDescent="0.2">
      <c r="A562" s="240"/>
      <c r="B562" s="318"/>
      <c r="C562" s="240"/>
      <c r="D562" s="241"/>
      <c r="E562" s="270"/>
      <c r="F562" s="271"/>
      <c r="G562" s="239"/>
      <c r="H562" s="239"/>
      <c r="I562" s="239"/>
      <c r="J562" s="239"/>
      <c r="K562" s="239"/>
      <c r="L562" s="239"/>
      <c r="M562" s="239"/>
      <c r="N562" s="239"/>
      <c r="O562" s="239"/>
      <c r="P562" s="239"/>
      <c r="Q562" s="239"/>
      <c r="R562" s="239"/>
      <c r="S562" s="239"/>
      <c r="T562" s="239"/>
      <c r="U562"/>
      <c r="V562"/>
      <c r="W562"/>
      <c r="X562"/>
      <c r="Y562"/>
      <c r="Z562"/>
      <c r="AA562"/>
    </row>
    <row r="563" spans="1:27" hidden="1" x14ac:dyDescent="0.2">
      <c r="A563" s="240"/>
      <c r="B563" s="318"/>
      <c r="C563" s="240"/>
      <c r="D563" s="241"/>
      <c r="E563" s="270"/>
      <c r="F563" s="271"/>
      <c r="G563" s="239"/>
      <c r="H563" s="239"/>
      <c r="I563" s="239"/>
      <c r="J563" s="239"/>
      <c r="K563" s="239"/>
      <c r="L563" s="239"/>
      <c r="M563" s="239"/>
      <c r="N563" s="239"/>
      <c r="O563" s="239"/>
      <c r="P563" s="239"/>
      <c r="Q563" s="239"/>
      <c r="R563" s="239"/>
      <c r="S563" s="239"/>
      <c r="T563" s="239"/>
      <c r="U563"/>
      <c r="V563"/>
      <c r="W563"/>
      <c r="X563"/>
      <c r="Y563"/>
      <c r="Z563"/>
      <c r="AA563"/>
    </row>
    <row r="564" spans="1:27" hidden="1" x14ac:dyDescent="0.2">
      <c r="A564" s="240"/>
      <c r="B564" s="318"/>
      <c r="C564" s="240"/>
      <c r="D564" s="241"/>
      <c r="E564" s="270"/>
      <c r="F564" s="271"/>
      <c r="G564" s="239"/>
      <c r="H564" s="239"/>
      <c r="I564" s="239"/>
      <c r="J564" s="239"/>
      <c r="K564" s="239"/>
      <c r="L564" s="239"/>
      <c r="M564" s="239"/>
      <c r="N564" s="239"/>
      <c r="O564" s="239"/>
      <c r="P564" s="239"/>
      <c r="Q564" s="239"/>
      <c r="R564" s="239"/>
      <c r="S564" s="239"/>
      <c r="T564" s="239"/>
      <c r="U564"/>
      <c r="V564"/>
      <c r="W564"/>
      <c r="X564"/>
      <c r="Y564"/>
      <c r="Z564"/>
      <c r="AA564"/>
    </row>
    <row r="565" spans="1:27" hidden="1" x14ac:dyDescent="0.2">
      <c r="A565" s="240"/>
      <c r="B565" s="318"/>
      <c r="C565" s="240"/>
      <c r="D565" s="241"/>
      <c r="E565" s="270"/>
      <c r="F565" s="271"/>
      <c r="G565" s="239"/>
      <c r="H565" s="239"/>
      <c r="I565" s="239"/>
      <c r="J565" s="239"/>
      <c r="K565" s="239"/>
      <c r="L565" s="239"/>
      <c r="M565" s="239"/>
      <c r="N565" s="239"/>
      <c r="O565" s="239"/>
      <c r="P565" s="239"/>
      <c r="Q565" s="239"/>
      <c r="R565" s="239"/>
      <c r="S565" s="239"/>
      <c r="T565" s="239"/>
      <c r="U565"/>
      <c r="V565"/>
      <c r="W565"/>
      <c r="X565"/>
      <c r="Y565"/>
      <c r="Z565"/>
      <c r="AA565"/>
    </row>
    <row r="566" spans="1:27" hidden="1" x14ac:dyDescent="0.2">
      <c r="A566" s="240"/>
      <c r="B566" s="318"/>
      <c r="C566" s="240"/>
      <c r="D566" s="241"/>
      <c r="E566" s="270"/>
      <c r="F566" s="271"/>
      <c r="G566" s="239"/>
      <c r="H566" s="239"/>
      <c r="I566" s="239"/>
      <c r="J566" s="239"/>
      <c r="K566" s="239"/>
      <c r="L566" s="239"/>
      <c r="M566" s="239"/>
      <c r="N566" s="239"/>
      <c r="O566" s="239"/>
      <c r="P566" s="239"/>
      <c r="Q566" s="239"/>
      <c r="R566" s="239"/>
      <c r="S566" s="239"/>
      <c r="T566" s="239"/>
      <c r="U566"/>
      <c r="V566"/>
      <c r="W566"/>
      <c r="X566"/>
      <c r="Y566"/>
      <c r="Z566"/>
      <c r="AA566"/>
    </row>
    <row r="567" spans="1:27" hidden="1" x14ac:dyDescent="0.2">
      <c r="A567" s="240"/>
      <c r="B567" s="318"/>
      <c r="C567" s="240"/>
      <c r="D567" s="241"/>
      <c r="E567" s="270"/>
      <c r="F567" s="271"/>
      <c r="G567" s="239"/>
      <c r="H567" s="239"/>
      <c r="I567" s="239"/>
      <c r="J567" s="239"/>
      <c r="K567" s="239"/>
      <c r="L567" s="239"/>
      <c r="M567" s="239"/>
      <c r="N567" s="239"/>
      <c r="O567" s="239"/>
      <c r="P567" s="239"/>
      <c r="Q567" s="239"/>
      <c r="R567" s="239"/>
      <c r="S567" s="239"/>
      <c r="T567" s="239"/>
      <c r="U567"/>
      <c r="V567"/>
      <c r="W567"/>
      <c r="X567"/>
      <c r="Y567"/>
      <c r="Z567"/>
      <c r="AA567"/>
    </row>
    <row r="568" spans="1:27" hidden="1" x14ac:dyDescent="0.2">
      <c r="A568" s="240"/>
      <c r="B568" s="318"/>
      <c r="C568" s="240"/>
      <c r="D568" s="241"/>
      <c r="E568" s="270"/>
      <c r="F568" s="271"/>
      <c r="G568" s="239"/>
      <c r="H568" s="239"/>
      <c r="I568" s="239"/>
      <c r="J568" s="239"/>
      <c r="K568" s="239"/>
      <c r="L568" s="239"/>
      <c r="M568" s="239"/>
      <c r="N568" s="239"/>
      <c r="O568" s="239"/>
      <c r="P568" s="239"/>
      <c r="Q568" s="239"/>
      <c r="R568" s="239"/>
      <c r="S568" s="239"/>
      <c r="T568" s="239"/>
      <c r="U568"/>
      <c r="V568"/>
      <c r="W568"/>
      <c r="X568"/>
      <c r="Y568"/>
      <c r="Z568"/>
      <c r="AA568"/>
    </row>
    <row r="569" spans="1:27" hidden="1" x14ac:dyDescent="0.2">
      <c r="A569" s="240"/>
      <c r="B569" s="318"/>
      <c r="C569" s="240"/>
      <c r="D569" s="241"/>
      <c r="E569" s="270"/>
      <c r="F569" s="271"/>
      <c r="G569" s="239"/>
      <c r="H569" s="239"/>
      <c r="I569" s="239"/>
      <c r="J569" s="239"/>
      <c r="K569" s="239"/>
      <c r="L569" s="239"/>
      <c r="M569" s="239"/>
      <c r="N569" s="239"/>
      <c r="O569" s="239"/>
      <c r="P569" s="239"/>
      <c r="Q569" s="239"/>
      <c r="R569" s="239"/>
      <c r="S569" s="239"/>
      <c r="T569" s="239"/>
      <c r="U569"/>
      <c r="V569"/>
      <c r="W569"/>
      <c r="X569"/>
      <c r="Y569"/>
      <c r="Z569"/>
      <c r="AA569"/>
    </row>
    <row r="570" spans="1:27" hidden="1" x14ac:dyDescent="0.2">
      <c r="A570" s="240"/>
      <c r="B570" s="318"/>
      <c r="C570" s="240"/>
      <c r="D570" s="241"/>
      <c r="E570" s="270"/>
      <c r="F570" s="271"/>
      <c r="G570" s="239"/>
      <c r="H570" s="239"/>
      <c r="I570" s="239"/>
      <c r="J570" s="239"/>
      <c r="K570" s="239"/>
      <c r="L570" s="239"/>
      <c r="M570" s="239"/>
      <c r="N570" s="239"/>
      <c r="O570" s="239"/>
      <c r="P570" s="239"/>
      <c r="Q570" s="239"/>
      <c r="R570" s="239"/>
      <c r="S570" s="239"/>
      <c r="T570" s="239"/>
      <c r="U570"/>
      <c r="V570"/>
      <c r="W570"/>
      <c r="X570"/>
      <c r="Y570"/>
      <c r="Z570"/>
      <c r="AA570"/>
    </row>
    <row r="571" spans="1:27" hidden="1" x14ac:dyDescent="0.2">
      <c r="A571" s="240"/>
      <c r="B571" s="318"/>
      <c r="C571" s="240"/>
      <c r="D571" s="241"/>
      <c r="E571" s="270"/>
      <c r="F571" s="271"/>
      <c r="G571" s="239"/>
      <c r="H571" s="239"/>
      <c r="I571" s="239"/>
      <c r="J571" s="239"/>
      <c r="K571" s="239"/>
      <c r="L571" s="239"/>
      <c r="M571" s="239"/>
      <c r="N571" s="239"/>
      <c r="O571" s="239"/>
      <c r="P571" s="239"/>
      <c r="Q571" s="239"/>
      <c r="R571" s="239"/>
      <c r="S571" s="239"/>
      <c r="T571" s="239"/>
      <c r="U571"/>
      <c r="V571"/>
      <c r="W571"/>
      <c r="X571"/>
      <c r="Y571"/>
      <c r="Z571"/>
      <c r="AA571"/>
    </row>
    <row r="572" spans="1:27" hidden="1" x14ac:dyDescent="0.2">
      <c r="A572" s="240"/>
      <c r="B572" s="318"/>
      <c r="C572" s="240"/>
      <c r="D572" s="241"/>
      <c r="E572" s="270"/>
      <c r="F572" s="271"/>
      <c r="G572" s="239"/>
      <c r="H572" s="239"/>
      <c r="I572" s="239"/>
      <c r="J572" s="239"/>
      <c r="K572" s="239"/>
      <c r="L572" s="239"/>
      <c r="M572" s="239"/>
      <c r="N572" s="239"/>
      <c r="O572" s="239"/>
      <c r="P572" s="239"/>
      <c r="Q572" s="239"/>
      <c r="R572" s="239"/>
      <c r="S572" s="239"/>
      <c r="T572" s="239"/>
      <c r="U572"/>
      <c r="V572"/>
      <c r="W572"/>
      <c r="X572"/>
      <c r="Y572"/>
      <c r="Z572"/>
      <c r="AA572"/>
    </row>
    <row r="573" spans="1:27" hidden="1" x14ac:dyDescent="0.2">
      <c r="A573" s="240"/>
      <c r="B573" s="318"/>
      <c r="C573" s="240"/>
      <c r="D573" s="241"/>
      <c r="E573" s="270"/>
      <c r="F573" s="271"/>
      <c r="G573" s="239"/>
      <c r="H573" s="239"/>
      <c r="I573" s="239"/>
      <c r="J573" s="239"/>
      <c r="K573" s="239"/>
      <c r="L573" s="239"/>
      <c r="M573" s="239"/>
      <c r="N573" s="239"/>
      <c r="O573" s="239"/>
      <c r="P573" s="239"/>
      <c r="Q573" s="239"/>
      <c r="R573" s="239"/>
      <c r="S573" s="239"/>
      <c r="T573" s="239"/>
      <c r="U573"/>
      <c r="V573"/>
      <c r="W573"/>
      <c r="X573"/>
      <c r="Y573"/>
      <c r="Z573"/>
      <c r="AA573"/>
    </row>
    <row r="574" spans="1:27" hidden="1" x14ac:dyDescent="0.2">
      <c r="A574" s="240"/>
      <c r="B574" s="318"/>
      <c r="C574" s="240"/>
      <c r="D574" s="241"/>
      <c r="E574" s="270"/>
      <c r="F574" s="271"/>
      <c r="G574" s="239"/>
      <c r="H574" s="239"/>
      <c r="I574" s="239"/>
      <c r="J574" s="239"/>
      <c r="K574" s="239"/>
      <c r="L574" s="239"/>
      <c r="M574" s="239"/>
      <c r="N574" s="239"/>
      <c r="O574" s="239"/>
      <c r="P574" s="239"/>
      <c r="Q574" s="239"/>
      <c r="R574" s="239"/>
      <c r="S574" s="239"/>
      <c r="T574" s="239"/>
      <c r="U574"/>
      <c r="V574"/>
      <c r="W574"/>
      <c r="X574"/>
      <c r="Y574"/>
      <c r="Z574"/>
      <c r="AA574"/>
    </row>
    <row r="575" spans="1:27" hidden="1" x14ac:dyDescent="0.2">
      <c r="A575" s="240"/>
      <c r="B575" s="318"/>
      <c r="C575" s="240"/>
      <c r="D575" s="241"/>
      <c r="E575" s="270"/>
      <c r="F575" s="271"/>
      <c r="G575" s="239"/>
      <c r="H575" s="239"/>
      <c r="I575" s="239"/>
      <c r="J575" s="239"/>
      <c r="K575" s="239"/>
      <c r="L575" s="239"/>
      <c r="M575" s="239"/>
      <c r="N575" s="239"/>
      <c r="O575" s="239"/>
      <c r="P575" s="239"/>
      <c r="Q575" s="239"/>
      <c r="R575" s="239"/>
      <c r="S575" s="239"/>
      <c r="T575" s="239"/>
      <c r="U575"/>
      <c r="V575"/>
      <c r="W575"/>
      <c r="X575"/>
      <c r="Y575"/>
      <c r="Z575"/>
      <c r="AA575"/>
    </row>
    <row r="576" spans="1:27" hidden="1" x14ac:dyDescent="0.2">
      <c r="A576" s="240"/>
      <c r="B576" s="318"/>
      <c r="C576" s="240"/>
      <c r="D576" s="241"/>
      <c r="E576" s="270"/>
      <c r="F576" s="271"/>
      <c r="G576" s="239"/>
      <c r="H576" s="239"/>
      <c r="I576" s="239"/>
      <c r="J576" s="239"/>
      <c r="K576" s="239"/>
      <c r="L576" s="239"/>
      <c r="M576" s="239"/>
      <c r="N576" s="239"/>
      <c r="O576" s="239"/>
      <c r="P576" s="239"/>
      <c r="Q576" s="239"/>
      <c r="R576" s="239"/>
      <c r="S576" s="239"/>
      <c r="T576" s="239"/>
      <c r="U576"/>
      <c r="V576"/>
      <c r="W576"/>
      <c r="X576"/>
      <c r="Y576"/>
      <c r="Z576"/>
      <c r="AA576"/>
    </row>
    <row r="577" spans="1:27" hidden="1" x14ac:dyDescent="0.2">
      <c r="A577" s="240"/>
      <c r="B577" s="318"/>
      <c r="C577" s="240"/>
      <c r="D577" s="241"/>
      <c r="E577" s="270"/>
      <c r="F577" s="271"/>
      <c r="G577" s="239"/>
      <c r="H577" s="239"/>
      <c r="I577" s="239"/>
      <c r="J577" s="239"/>
      <c r="K577" s="239"/>
      <c r="L577" s="239"/>
      <c r="M577" s="239"/>
      <c r="N577" s="239"/>
      <c r="O577" s="239"/>
      <c r="P577" s="239"/>
      <c r="Q577" s="239"/>
      <c r="R577" s="239"/>
      <c r="S577" s="239"/>
      <c r="T577" s="239"/>
      <c r="U577"/>
      <c r="V577"/>
      <c r="W577"/>
      <c r="X577"/>
      <c r="Y577"/>
      <c r="Z577"/>
      <c r="AA577"/>
    </row>
    <row r="578" spans="1:27" hidden="1" x14ac:dyDescent="0.2">
      <c r="A578" s="240"/>
      <c r="B578" s="318"/>
      <c r="C578" s="240"/>
      <c r="D578" s="241"/>
      <c r="E578" s="270"/>
      <c r="F578" s="271"/>
      <c r="G578" s="239"/>
      <c r="H578" s="239"/>
      <c r="I578" s="239"/>
      <c r="J578" s="239"/>
      <c r="K578" s="239"/>
      <c r="L578" s="239"/>
      <c r="M578" s="239"/>
      <c r="N578" s="239"/>
      <c r="O578" s="239"/>
      <c r="P578" s="239"/>
      <c r="Q578" s="239"/>
      <c r="R578" s="239"/>
      <c r="S578" s="239"/>
      <c r="T578" s="239"/>
      <c r="U578"/>
      <c r="V578"/>
      <c r="W578"/>
      <c r="X578"/>
      <c r="Y578"/>
      <c r="Z578"/>
      <c r="AA578"/>
    </row>
    <row r="579" spans="1:27" hidden="1" x14ac:dyDescent="0.2">
      <c r="A579" s="240"/>
      <c r="B579" s="318"/>
      <c r="C579" s="240"/>
      <c r="D579" s="241"/>
      <c r="E579" s="270"/>
      <c r="F579" s="271"/>
      <c r="G579" s="239"/>
      <c r="H579" s="239"/>
      <c r="I579" s="239"/>
      <c r="J579" s="239"/>
      <c r="K579" s="239"/>
      <c r="L579" s="239"/>
      <c r="M579" s="239"/>
      <c r="N579" s="239"/>
      <c r="O579" s="239"/>
      <c r="P579" s="239"/>
      <c r="Q579" s="239"/>
      <c r="R579" s="239"/>
      <c r="S579" s="239"/>
      <c r="T579" s="239"/>
      <c r="U579"/>
      <c r="V579"/>
      <c r="W579"/>
      <c r="X579"/>
      <c r="Y579"/>
      <c r="Z579"/>
      <c r="AA579"/>
    </row>
    <row r="580" spans="1:27" hidden="1" x14ac:dyDescent="0.2">
      <c r="A580" s="240"/>
      <c r="B580" s="318"/>
      <c r="C580" s="240"/>
      <c r="D580" s="241"/>
      <c r="E580" s="270"/>
      <c r="F580" s="271"/>
      <c r="G580" s="239"/>
      <c r="H580" s="239"/>
      <c r="I580" s="239"/>
      <c r="J580" s="239"/>
      <c r="K580" s="239"/>
      <c r="L580" s="239"/>
      <c r="M580" s="239"/>
      <c r="N580" s="239"/>
      <c r="O580" s="239"/>
      <c r="P580" s="239"/>
      <c r="Q580" s="239"/>
      <c r="R580" s="239"/>
      <c r="S580" s="239"/>
      <c r="T580" s="239"/>
      <c r="U580"/>
      <c r="V580"/>
      <c r="W580"/>
      <c r="X580"/>
      <c r="Y580"/>
      <c r="Z580"/>
      <c r="AA580"/>
    </row>
    <row r="581" spans="1:27" hidden="1" x14ac:dyDescent="0.2">
      <c r="A581" s="240"/>
      <c r="B581" s="318"/>
      <c r="C581" s="240"/>
      <c r="D581" s="241"/>
      <c r="E581" s="270"/>
      <c r="F581" s="271"/>
      <c r="G581" s="239"/>
      <c r="H581" s="239"/>
      <c r="I581" s="239"/>
      <c r="J581" s="239"/>
      <c r="K581" s="239"/>
      <c r="L581" s="239"/>
      <c r="M581" s="239"/>
      <c r="N581" s="239"/>
      <c r="O581" s="239"/>
      <c r="P581" s="239"/>
      <c r="Q581" s="239"/>
      <c r="R581" s="239"/>
      <c r="S581" s="239"/>
      <c r="T581" s="239"/>
      <c r="U581"/>
      <c r="V581"/>
      <c r="W581"/>
      <c r="X581"/>
      <c r="Y581"/>
      <c r="Z581"/>
      <c r="AA581"/>
    </row>
    <row r="582" spans="1:27" hidden="1" x14ac:dyDescent="0.2">
      <c r="A582" s="240"/>
      <c r="B582" s="318"/>
      <c r="C582" s="240"/>
      <c r="D582" s="241"/>
      <c r="E582" s="270"/>
      <c r="F582" s="271"/>
      <c r="G582" s="239"/>
      <c r="H582" s="239"/>
      <c r="I582" s="239"/>
      <c r="J582" s="239"/>
      <c r="K582" s="239"/>
      <c r="L582" s="239"/>
      <c r="M582" s="239"/>
      <c r="N582" s="239"/>
      <c r="O582" s="239"/>
      <c r="P582" s="239"/>
      <c r="Q582" s="239"/>
      <c r="R582" s="239"/>
      <c r="S582" s="239"/>
      <c r="T582" s="239"/>
      <c r="U582"/>
      <c r="V582"/>
      <c r="W582"/>
      <c r="X582"/>
      <c r="Y582"/>
      <c r="Z582"/>
      <c r="AA582"/>
    </row>
    <row r="583" spans="1:27" hidden="1" x14ac:dyDescent="0.2">
      <c r="A583" s="240"/>
      <c r="B583" s="318"/>
      <c r="C583" s="240"/>
      <c r="D583" s="241"/>
      <c r="E583" s="270"/>
      <c r="F583" s="271"/>
      <c r="G583" s="239"/>
      <c r="H583" s="239"/>
      <c r="I583" s="239"/>
      <c r="J583" s="239"/>
      <c r="K583" s="239"/>
      <c r="L583" s="239"/>
      <c r="M583" s="239"/>
      <c r="N583" s="239"/>
      <c r="O583" s="239"/>
      <c r="P583" s="239"/>
      <c r="Q583" s="239"/>
      <c r="R583" s="239"/>
      <c r="S583" s="239"/>
      <c r="T583" s="239"/>
      <c r="U583"/>
      <c r="V583"/>
      <c r="W583"/>
      <c r="X583"/>
      <c r="Y583"/>
      <c r="Z583"/>
      <c r="AA583"/>
    </row>
    <row r="584" spans="1:27" hidden="1" x14ac:dyDescent="0.2">
      <c r="A584" s="240"/>
      <c r="B584" s="318"/>
      <c r="C584" s="240"/>
      <c r="D584" s="241"/>
      <c r="E584" s="270"/>
      <c r="F584" s="271"/>
      <c r="G584" s="239"/>
      <c r="H584" s="239"/>
      <c r="I584" s="239"/>
      <c r="J584" s="239"/>
      <c r="K584" s="239"/>
      <c r="L584" s="239"/>
      <c r="M584" s="239"/>
      <c r="N584" s="239"/>
      <c r="O584" s="239"/>
      <c r="P584" s="239"/>
      <c r="Q584" s="239"/>
      <c r="R584" s="239"/>
      <c r="S584" s="239"/>
      <c r="T584" s="239"/>
      <c r="U584"/>
      <c r="V584"/>
      <c r="W584"/>
      <c r="X584"/>
      <c r="Y584"/>
      <c r="Z584"/>
      <c r="AA584"/>
    </row>
    <row r="585" spans="1:27" hidden="1" x14ac:dyDescent="0.2">
      <c r="A585" s="240"/>
      <c r="B585" s="318"/>
      <c r="C585" s="240"/>
      <c r="D585" s="241"/>
      <c r="E585" s="270"/>
      <c r="F585" s="271"/>
      <c r="G585" s="239"/>
      <c r="H585" s="239"/>
      <c r="I585" s="239"/>
      <c r="J585" s="239"/>
      <c r="K585" s="239"/>
      <c r="L585" s="239"/>
      <c r="M585" s="239"/>
      <c r="N585" s="239"/>
      <c r="O585" s="239"/>
      <c r="P585" s="239"/>
      <c r="Q585" s="239"/>
      <c r="R585" s="239"/>
      <c r="S585" s="239"/>
      <c r="T585" s="239"/>
      <c r="U585"/>
      <c r="V585"/>
      <c r="W585"/>
      <c r="X585"/>
      <c r="Y585"/>
      <c r="Z585"/>
      <c r="AA585"/>
    </row>
    <row r="586" spans="1:27" hidden="1" x14ac:dyDescent="0.2">
      <c r="A586" s="240"/>
      <c r="B586" s="318"/>
      <c r="C586" s="240"/>
      <c r="D586" s="241"/>
      <c r="E586" s="270"/>
      <c r="F586" s="271"/>
      <c r="G586" s="239"/>
      <c r="H586" s="239"/>
      <c r="I586" s="239"/>
      <c r="J586" s="239"/>
      <c r="K586" s="239"/>
      <c r="L586" s="239"/>
      <c r="M586" s="239"/>
      <c r="N586" s="239"/>
      <c r="O586" s="239"/>
      <c r="P586" s="239"/>
      <c r="Q586" s="239"/>
      <c r="R586" s="239"/>
      <c r="S586" s="239"/>
      <c r="T586" s="239"/>
      <c r="U586"/>
      <c r="V586"/>
      <c r="W586"/>
      <c r="X586"/>
      <c r="Y586"/>
      <c r="Z586"/>
      <c r="AA586"/>
    </row>
    <row r="587" spans="1:27" hidden="1" x14ac:dyDescent="0.2">
      <c r="A587" s="240"/>
      <c r="B587" s="318"/>
      <c r="C587" s="240"/>
      <c r="D587" s="241"/>
      <c r="E587" s="270"/>
      <c r="F587" s="271"/>
      <c r="G587" s="239"/>
      <c r="H587" s="239"/>
      <c r="I587" s="239"/>
      <c r="J587" s="239"/>
      <c r="K587" s="239"/>
      <c r="L587" s="239"/>
      <c r="M587" s="239"/>
      <c r="N587" s="239"/>
      <c r="O587" s="239"/>
      <c r="P587" s="239"/>
      <c r="Q587" s="239"/>
      <c r="R587" s="239"/>
      <c r="S587" s="239"/>
      <c r="T587" s="239"/>
      <c r="U587"/>
      <c r="V587"/>
      <c r="W587"/>
      <c r="X587"/>
      <c r="Y587"/>
      <c r="Z587"/>
      <c r="AA587"/>
    </row>
    <row r="588" spans="1:27" hidden="1" x14ac:dyDescent="0.2">
      <c r="A588" s="240"/>
      <c r="B588" s="318"/>
      <c r="C588" s="240"/>
      <c r="D588" s="241"/>
      <c r="E588" s="270"/>
      <c r="F588" s="271"/>
      <c r="G588" s="239"/>
      <c r="H588" s="239"/>
      <c r="I588" s="239"/>
      <c r="J588" s="239"/>
      <c r="K588" s="239"/>
      <c r="L588" s="239"/>
      <c r="M588" s="239"/>
      <c r="N588" s="239"/>
      <c r="O588" s="239"/>
      <c r="P588" s="239"/>
      <c r="Q588" s="239"/>
      <c r="R588" s="239"/>
      <c r="S588" s="239"/>
      <c r="T588" s="239"/>
      <c r="U588"/>
      <c r="V588"/>
      <c r="W588"/>
      <c r="X588"/>
      <c r="Y588"/>
      <c r="Z588"/>
      <c r="AA588"/>
    </row>
    <row r="589" spans="1:27" hidden="1" x14ac:dyDescent="0.2">
      <c r="A589" s="240"/>
      <c r="B589" s="318"/>
      <c r="C589" s="240"/>
      <c r="D589" s="241"/>
      <c r="E589" s="270"/>
      <c r="F589" s="271"/>
      <c r="G589" s="239"/>
      <c r="H589" s="239"/>
      <c r="I589" s="239"/>
      <c r="J589" s="239"/>
      <c r="K589" s="239"/>
      <c r="L589" s="239"/>
      <c r="M589" s="239"/>
      <c r="N589" s="239"/>
      <c r="O589" s="239"/>
      <c r="P589" s="239"/>
      <c r="Q589" s="239"/>
      <c r="R589" s="239"/>
      <c r="S589" s="239"/>
      <c r="T589" s="239"/>
      <c r="U589"/>
      <c r="V589"/>
      <c r="W589"/>
      <c r="X589"/>
      <c r="Y589"/>
      <c r="Z589"/>
      <c r="AA589"/>
    </row>
    <row r="590" spans="1:27" hidden="1" x14ac:dyDescent="0.2">
      <c r="A590" s="240"/>
      <c r="B590" s="318"/>
      <c r="C590" s="240"/>
      <c r="D590" s="241"/>
      <c r="E590" s="270"/>
      <c r="F590" s="271"/>
      <c r="G590" s="239"/>
      <c r="H590" s="239"/>
      <c r="I590" s="239"/>
      <c r="J590" s="239"/>
      <c r="K590" s="239"/>
      <c r="L590" s="239"/>
      <c r="M590" s="239"/>
      <c r="N590" s="239"/>
      <c r="O590" s="239"/>
      <c r="P590" s="239"/>
      <c r="Q590" s="239"/>
      <c r="R590" s="239"/>
      <c r="S590" s="239"/>
      <c r="T590" s="239"/>
      <c r="U590"/>
      <c r="V590"/>
      <c r="W590"/>
      <c r="X590"/>
      <c r="Y590"/>
      <c r="Z590"/>
      <c r="AA590"/>
    </row>
    <row r="591" spans="1:27" hidden="1" x14ac:dyDescent="0.2">
      <c r="A591" s="240"/>
      <c r="B591" s="318"/>
      <c r="C591" s="240"/>
      <c r="D591" s="241"/>
      <c r="E591" s="270"/>
      <c r="F591" s="271"/>
      <c r="G591" s="239"/>
      <c r="H591" s="239"/>
      <c r="I591" s="239"/>
      <c r="J591" s="239"/>
      <c r="K591" s="239"/>
      <c r="L591" s="239"/>
      <c r="M591" s="239"/>
      <c r="N591" s="239"/>
      <c r="O591" s="239"/>
      <c r="P591" s="239"/>
      <c r="Q591" s="239"/>
      <c r="R591" s="239"/>
      <c r="S591" s="239"/>
      <c r="T591" s="239"/>
      <c r="U591"/>
      <c r="V591"/>
      <c r="W591"/>
      <c r="X591"/>
      <c r="Y591"/>
      <c r="Z591"/>
      <c r="AA591"/>
    </row>
    <row r="592" spans="1:27" hidden="1" x14ac:dyDescent="0.2">
      <c r="A592" s="240"/>
      <c r="B592" s="318"/>
      <c r="C592" s="240"/>
      <c r="D592" s="241"/>
      <c r="E592" s="270"/>
      <c r="F592" s="271"/>
      <c r="G592" s="239"/>
      <c r="H592" s="239"/>
      <c r="I592" s="239"/>
      <c r="J592" s="239"/>
      <c r="K592" s="239"/>
      <c r="L592" s="239"/>
      <c r="M592" s="239"/>
      <c r="N592" s="239"/>
      <c r="O592" s="239"/>
      <c r="P592" s="239"/>
      <c r="Q592" s="239"/>
      <c r="R592" s="239"/>
      <c r="S592" s="239"/>
      <c r="T592" s="239"/>
      <c r="U592"/>
      <c r="V592"/>
      <c r="W592"/>
      <c r="X592"/>
      <c r="Y592"/>
      <c r="Z592"/>
      <c r="AA592"/>
    </row>
    <row r="593" spans="1:27" hidden="1" x14ac:dyDescent="0.2">
      <c r="A593" s="240"/>
      <c r="B593" s="318"/>
      <c r="C593" s="240"/>
      <c r="D593" s="241"/>
      <c r="E593" s="270"/>
      <c r="F593" s="271"/>
      <c r="G593" s="239"/>
      <c r="H593" s="239"/>
      <c r="I593" s="239"/>
      <c r="J593" s="239"/>
      <c r="K593" s="239"/>
      <c r="L593" s="239"/>
      <c r="M593" s="239"/>
      <c r="N593" s="239"/>
      <c r="O593" s="239"/>
      <c r="P593" s="239"/>
      <c r="Q593" s="239"/>
      <c r="R593" s="239"/>
      <c r="S593" s="239"/>
      <c r="T593" s="239"/>
      <c r="U593"/>
      <c r="V593"/>
      <c r="W593"/>
      <c r="X593"/>
      <c r="Y593"/>
      <c r="Z593"/>
      <c r="AA593"/>
    </row>
    <row r="594" spans="1:27" hidden="1" x14ac:dyDescent="0.2">
      <c r="A594" s="240"/>
      <c r="B594" s="318"/>
      <c r="C594" s="240"/>
      <c r="D594" s="241"/>
      <c r="E594" s="270"/>
      <c r="F594" s="271"/>
      <c r="G594" s="239"/>
      <c r="H594" s="239"/>
      <c r="I594" s="239"/>
      <c r="J594" s="239"/>
      <c r="K594" s="239"/>
      <c r="L594" s="239"/>
      <c r="M594" s="239"/>
      <c r="N594" s="239"/>
      <c r="O594" s="239"/>
      <c r="P594" s="239"/>
      <c r="Q594" s="239"/>
      <c r="R594" s="239"/>
      <c r="S594" s="239"/>
      <c r="T594" s="239"/>
      <c r="U594"/>
      <c r="V594"/>
      <c r="W594"/>
      <c r="X594"/>
      <c r="Y594"/>
      <c r="Z594"/>
      <c r="AA594"/>
    </row>
    <row r="595" spans="1:27" hidden="1" x14ac:dyDescent="0.2">
      <c r="A595" s="240"/>
      <c r="B595" s="318"/>
      <c r="C595" s="240"/>
      <c r="D595" s="241"/>
      <c r="E595" s="270"/>
      <c r="F595" s="271"/>
      <c r="G595" s="239"/>
      <c r="H595" s="239"/>
      <c r="I595" s="239"/>
      <c r="J595" s="239"/>
      <c r="K595" s="239"/>
      <c r="L595" s="239"/>
      <c r="M595" s="239"/>
      <c r="N595" s="239"/>
      <c r="O595" s="239"/>
      <c r="P595" s="239"/>
      <c r="Q595" s="239"/>
      <c r="R595" s="239"/>
      <c r="S595" s="239"/>
      <c r="T595" s="239"/>
      <c r="U595"/>
      <c r="V595"/>
      <c r="W595"/>
      <c r="X595"/>
      <c r="Y595"/>
      <c r="Z595"/>
      <c r="AA595"/>
    </row>
    <row r="596" spans="1:27" hidden="1" x14ac:dyDescent="0.2">
      <c r="A596" s="240"/>
      <c r="B596" s="318"/>
      <c r="C596" s="240"/>
      <c r="D596" s="241"/>
      <c r="E596" s="270"/>
      <c r="F596" s="271"/>
      <c r="G596" s="239"/>
      <c r="H596" s="239"/>
      <c r="I596" s="239"/>
      <c r="J596" s="239"/>
      <c r="K596" s="239"/>
      <c r="L596" s="239"/>
      <c r="M596" s="239"/>
      <c r="N596" s="239"/>
      <c r="O596" s="239"/>
      <c r="P596" s="239"/>
      <c r="Q596" s="239"/>
      <c r="R596" s="239"/>
      <c r="S596" s="239"/>
      <c r="T596" s="239"/>
      <c r="U596"/>
      <c r="V596"/>
      <c r="W596"/>
      <c r="X596"/>
      <c r="Y596"/>
      <c r="Z596"/>
      <c r="AA596"/>
    </row>
    <row r="597" spans="1:27" hidden="1" x14ac:dyDescent="0.2">
      <c r="A597" s="240"/>
      <c r="B597" s="318"/>
      <c r="C597" s="240"/>
      <c r="D597" s="241"/>
      <c r="E597" s="270"/>
      <c r="F597" s="271"/>
      <c r="G597" s="239"/>
      <c r="H597" s="239"/>
      <c r="I597" s="239"/>
      <c r="J597" s="239"/>
      <c r="K597" s="239"/>
      <c r="L597" s="239"/>
      <c r="M597" s="239"/>
      <c r="N597" s="239"/>
      <c r="O597" s="239"/>
      <c r="P597" s="239"/>
      <c r="Q597" s="239"/>
      <c r="R597" s="239"/>
      <c r="S597" s="239"/>
      <c r="T597" s="239"/>
      <c r="U597"/>
      <c r="V597"/>
      <c r="W597"/>
      <c r="X597"/>
      <c r="Y597"/>
      <c r="Z597"/>
      <c r="AA597"/>
    </row>
    <row r="598" spans="1:27" hidden="1" x14ac:dyDescent="0.2">
      <c r="A598" s="240"/>
      <c r="B598" s="318"/>
      <c r="C598" s="240"/>
      <c r="D598" s="241"/>
      <c r="E598" s="270"/>
      <c r="F598" s="271"/>
      <c r="G598" s="239"/>
      <c r="H598" s="239"/>
      <c r="I598" s="239"/>
      <c r="J598" s="239"/>
      <c r="K598" s="239"/>
      <c r="L598" s="239"/>
      <c r="M598" s="239"/>
      <c r="N598" s="239"/>
      <c r="O598" s="239"/>
      <c r="P598" s="239"/>
      <c r="Q598" s="239"/>
      <c r="R598" s="239"/>
      <c r="S598" s="239"/>
      <c r="T598" s="239"/>
      <c r="U598"/>
      <c r="V598"/>
      <c r="W598"/>
      <c r="X598"/>
      <c r="Y598"/>
      <c r="Z598"/>
      <c r="AA598"/>
    </row>
    <row r="599" spans="1:27" hidden="1" x14ac:dyDescent="0.2">
      <c r="A599" s="240"/>
      <c r="B599" s="318"/>
      <c r="C599" s="240"/>
      <c r="D599" s="241"/>
      <c r="E599" s="270"/>
      <c r="F599" s="271"/>
      <c r="G599" s="239"/>
      <c r="H599" s="239"/>
      <c r="I599" s="239"/>
      <c r="J599" s="239"/>
      <c r="K599" s="239"/>
      <c r="L599" s="239"/>
      <c r="M599" s="239"/>
      <c r="N599" s="239"/>
      <c r="O599" s="239"/>
      <c r="P599" s="239"/>
      <c r="Q599" s="239"/>
      <c r="R599" s="239"/>
      <c r="S599" s="239"/>
      <c r="T599" s="239"/>
      <c r="U599"/>
      <c r="V599"/>
      <c r="W599"/>
      <c r="X599"/>
      <c r="Y599"/>
      <c r="Z599"/>
      <c r="AA599"/>
    </row>
    <row r="600" spans="1:27" hidden="1" x14ac:dyDescent="0.2">
      <c r="A600" s="240"/>
      <c r="B600" s="318"/>
      <c r="C600" s="240"/>
      <c r="D600" s="241"/>
      <c r="E600" s="270"/>
      <c r="F600" s="271"/>
      <c r="G600" s="239"/>
      <c r="H600" s="239"/>
      <c r="I600" s="239"/>
      <c r="J600" s="239"/>
      <c r="K600" s="239"/>
      <c r="L600" s="239"/>
      <c r="M600" s="239"/>
      <c r="N600" s="239"/>
      <c r="O600" s="239"/>
      <c r="P600" s="239"/>
      <c r="Q600" s="239"/>
      <c r="R600" s="239"/>
      <c r="S600" s="239"/>
      <c r="T600" s="239"/>
      <c r="U600"/>
      <c r="V600"/>
      <c r="W600"/>
      <c r="X600"/>
      <c r="Y600"/>
      <c r="Z600"/>
      <c r="AA600"/>
    </row>
    <row r="601" spans="1:27" hidden="1" x14ac:dyDescent="0.2">
      <c r="A601" s="240"/>
      <c r="B601" s="318"/>
      <c r="C601" s="240"/>
      <c r="D601" s="241"/>
      <c r="E601" s="270"/>
      <c r="F601" s="271"/>
      <c r="G601" s="239"/>
      <c r="H601" s="239"/>
      <c r="I601" s="239"/>
      <c r="J601" s="239"/>
      <c r="K601" s="239"/>
      <c r="L601" s="239"/>
      <c r="M601" s="239"/>
      <c r="N601" s="239"/>
      <c r="O601" s="239"/>
      <c r="P601" s="239"/>
      <c r="Q601" s="239"/>
      <c r="R601" s="239"/>
      <c r="S601" s="239"/>
      <c r="T601" s="239"/>
      <c r="U601"/>
      <c r="V601"/>
      <c r="W601"/>
      <c r="X601"/>
      <c r="Y601"/>
      <c r="Z601"/>
      <c r="AA601"/>
    </row>
    <row r="602" spans="1:27" hidden="1" x14ac:dyDescent="0.2">
      <c r="A602" s="240"/>
      <c r="B602" s="318"/>
      <c r="C602" s="240"/>
      <c r="D602" s="241"/>
      <c r="E602" s="270"/>
      <c r="F602" s="271"/>
      <c r="G602" s="239"/>
      <c r="H602" s="239"/>
      <c r="I602" s="239"/>
      <c r="J602" s="239"/>
      <c r="K602" s="239"/>
      <c r="L602" s="239"/>
      <c r="M602" s="239"/>
      <c r="N602" s="239"/>
      <c r="O602" s="239"/>
      <c r="P602" s="239"/>
      <c r="Q602" s="239"/>
      <c r="R602" s="239"/>
      <c r="S602" s="239"/>
      <c r="T602" s="239"/>
      <c r="U602"/>
      <c r="V602"/>
      <c r="W602"/>
      <c r="X602"/>
      <c r="Y602"/>
      <c r="Z602"/>
      <c r="AA602"/>
    </row>
    <row r="603" spans="1:27" hidden="1" x14ac:dyDescent="0.2">
      <c r="A603" s="240"/>
      <c r="B603" s="318"/>
      <c r="C603" s="240"/>
      <c r="D603" s="241"/>
      <c r="E603" s="270"/>
      <c r="F603" s="271"/>
      <c r="G603" s="239"/>
      <c r="H603" s="239"/>
      <c r="I603" s="239"/>
      <c r="J603" s="239"/>
      <c r="K603" s="239"/>
      <c r="L603" s="239"/>
      <c r="M603" s="239"/>
      <c r="N603" s="239"/>
      <c r="O603" s="239"/>
      <c r="P603" s="239"/>
      <c r="Q603" s="239"/>
      <c r="R603" s="239"/>
      <c r="S603" s="239"/>
      <c r="T603" s="239"/>
      <c r="U603"/>
      <c r="V603"/>
      <c r="W603"/>
      <c r="X603"/>
      <c r="Y603"/>
      <c r="Z603"/>
      <c r="AA603"/>
    </row>
    <row r="604" spans="1:27" hidden="1" x14ac:dyDescent="0.2">
      <c r="A604" s="240"/>
      <c r="B604" s="318"/>
      <c r="C604" s="240"/>
      <c r="D604" s="241"/>
      <c r="E604" s="270"/>
      <c r="F604" s="271"/>
      <c r="G604" s="239"/>
      <c r="H604" s="239"/>
      <c r="I604" s="239"/>
      <c r="J604" s="239"/>
      <c r="K604" s="239"/>
      <c r="L604" s="239"/>
      <c r="M604" s="239"/>
      <c r="N604" s="239"/>
      <c r="O604" s="239"/>
      <c r="P604" s="239"/>
      <c r="Q604" s="239"/>
      <c r="R604" s="239"/>
      <c r="S604" s="239"/>
      <c r="T604" s="239"/>
      <c r="U604"/>
      <c r="V604"/>
      <c r="W604"/>
      <c r="X604"/>
      <c r="Y604"/>
      <c r="Z604"/>
      <c r="AA604"/>
    </row>
    <row r="605" spans="1:27" hidden="1" x14ac:dyDescent="0.2">
      <c r="A605" s="240"/>
      <c r="B605" s="318"/>
      <c r="C605" s="240"/>
      <c r="D605" s="241"/>
      <c r="E605" s="270"/>
      <c r="F605" s="271"/>
      <c r="G605" s="239"/>
      <c r="H605" s="239"/>
      <c r="I605" s="239"/>
      <c r="J605" s="239"/>
      <c r="K605" s="239"/>
      <c r="L605" s="239"/>
      <c r="M605" s="239"/>
      <c r="N605" s="239"/>
      <c r="O605" s="239"/>
      <c r="P605" s="239"/>
      <c r="Q605" s="239"/>
      <c r="R605" s="239"/>
      <c r="S605" s="239"/>
      <c r="T605" s="239"/>
      <c r="U605"/>
      <c r="V605"/>
      <c r="W605"/>
      <c r="X605"/>
      <c r="Y605"/>
      <c r="Z605"/>
      <c r="AA605"/>
    </row>
    <row r="606" spans="1:27" hidden="1" x14ac:dyDescent="0.2">
      <c r="A606" s="240"/>
      <c r="B606" s="318"/>
      <c r="C606" s="240"/>
      <c r="D606" s="241"/>
      <c r="E606" s="270"/>
      <c r="F606" s="271"/>
      <c r="G606" s="239"/>
      <c r="H606" s="239"/>
      <c r="I606" s="239"/>
      <c r="J606" s="239"/>
      <c r="K606" s="239"/>
      <c r="L606" s="239"/>
      <c r="M606" s="239"/>
      <c r="N606" s="239"/>
      <c r="O606" s="239"/>
      <c r="P606" s="239"/>
      <c r="Q606" s="239"/>
      <c r="R606" s="239"/>
      <c r="S606" s="239"/>
      <c r="T606" s="239"/>
      <c r="U606"/>
      <c r="V606"/>
      <c r="W606"/>
      <c r="X606"/>
      <c r="Y606"/>
      <c r="Z606"/>
      <c r="AA606"/>
    </row>
    <row r="607" spans="1:27" hidden="1" x14ac:dyDescent="0.2">
      <c r="A607" s="240"/>
      <c r="B607" s="318"/>
      <c r="C607" s="240"/>
      <c r="D607" s="241"/>
      <c r="E607" s="270"/>
      <c r="F607" s="271"/>
      <c r="G607" s="239"/>
      <c r="H607" s="239"/>
      <c r="I607" s="239"/>
      <c r="J607" s="239"/>
      <c r="K607" s="239"/>
      <c r="L607" s="239"/>
      <c r="M607" s="239"/>
      <c r="N607" s="239"/>
      <c r="O607" s="239"/>
      <c r="P607" s="239"/>
      <c r="Q607" s="239"/>
      <c r="R607" s="239"/>
      <c r="S607" s="239"/>
      <c r="T607" s="239"/>
      <c r="U607"/>
      <c r="V607"/>
      <c r="W607"/>
      <c r="X607"/>
      <c r="Y607"/>
      <c r="Z607"/>
      <c r="AA607"/>
    </row>
    <row r="608" spans="1:27" hidden="1" x14ac:dyDescent="0.2">
      <c r="A608" s="240"/>
      <c r="B608" s="318"/>
      <c r="C608" s="240"/>
      <c r="D608" s="241"/>
      <c r="E608" s="270"/>
      <c r="F608" s="271"/>
      <c r="G608" s="239"/>
      <c r="H608" s="239"/>
      <c r="I608" s="239"/>
      <c r="J608" s="239"/>
      <c r="K608" s="239"/>
      <c r="L608" s="239"/>
      <c r="M608" s="239"/>
      <c r="N608" s="239"/>
      <c r="O608" s="239"/>
      <c r="P608" s="239"/>
      <c r="Q608" s="239"/>
      <c r="R608" s="239"/>
      <c r="S608" s="239"/>
      <c r="T608" s="239"/>
      <c r="U608"/>
      <c r="V608"/>
      <c r="W608"/>
      <c r="X608"/>
      <c r="Y608"/>
      <c r="Z608"/>
      <c r="AA608"/>
    </row>
    <row r="609" spans="1:27" hidden="1" x14ac:dyDescent="0.2">
      <c r="A609" s="240"/>
      <c r="B609" s="318"/>
      <c r="C609" s="240"/>
      <c r="D609" s="241"/>
      <c r="E609" s="270"/>
      <c r="F609" s="271"/>
      <c r="G609" s="239"/>
      <c r="H609" s="239"/>
      <c r="I609" s="239"/>
      <c r="J609" s="239"/>
      <c r="K609" s="239"/>
      <c r="L609" s="239"/>
      <c r="M609" s="239"/>
      <c r="N609" s="239"/>
      <c r="O609" s="239"/>
      <c r="P609" s="239"/>
      <c r="Q609" s="239"/>
      <c r="R609" s="239"/>
      <c r="S609" s="239"/>
      <c r="T609" s="239"/>
      <c r="U609"/>
      <c r="V609"/>
      <c r="W609"/>
      <c r="X609"/>
      <c r="Y609"/>
      <c r="Z609"/>
      <c r="AA609"/>
    </row>
    <row r="610" spans="1:27" hidden="1" x14ac:dyDescent="0.2">
      <c r="A610" s="240"/>
      <c r="B610" s="318"/>
      <c r="C610" s="240"/>
      <c r="D610" s="241"/>
      <c r="E610" s="270"/>
      <c r="F610" s="271"/>
      <c r="G610" s="239"/>
      <c r="H610" s="239"/>
      <c r="I610" s="239"/>
      <c r="J610" s="239"/>
      <c r="K610" s="239"/>
      <c r="L610" s="239"/>
      <c r="M610" s="239"/>
      <c r="N610" s="239"/>
      <c r="O610" s="239"/>
      <c r="P610" s="239"/>
      <c r="Q610" s="239"/>
      <c r="R610" s="239"/>
      <c r="S610" s="239"/>
      <c r="T610" s="239"/>
      <c r="U610"/>
      <c r="V610"/>
      <c r="W610"/>
      <c r="X610"/>
      <c r="Y610"/>
      <c r="Z610"/>
      <c r="AA610"/>
    </row>
    <row r="611" spans="1:27" hidden="1" x14ac:dyDescent="0.2">
      <c r="A611" s="240"/>
      <c r="B611" s="318"/>
      <c r="C611" s="240"/>
      <c r="D611" s="241"/>
      <c r="E611" s="270"/>
      <c r="F611" s="271"/>
      <c r="G611" s="239"/>
      <c r="H611" s="239"/>
      <c r="I611" s="239"/>
      <c r="J611" s="239"/>
      <c r="K611" s="239"/>
      <c r="L611" s="239"/>
      <c r="M611" s="239"/>
      <c r="N611" s="239"/>
      <c r="O611" s="239"/>
      <c r="P611" s="239"/>
      <c r="Q611" s="239"/>
      <c r="R611" s="239"/>
      <c r="S611" s="239"/>
      <c r="T611" s="239"/>
      <c r="U611"/>
      <c r="V611"/>
      <c r="W611"/>
      <c r="X611"/>
      <c r="Y611"/>
      <c r="Z611"/>
      <c r="AA611"/>
    </row>
    <row r="612" spans="1:27" hidden="1" x14ac:dyDescent="0.2">
      <c r="A612" s="240"/>
      <c r="B612" s="318"/>
      <c r="C612" s="240"/>
      <c r="D612" s="241"/>
      <c r="E612" s="270"/>
      <c r="F612" s="271"/>
      <c r="G612" s="239"/>
      <c r="H612" s="239"/>
      <c r="I612" s="239"/>
      <c r="J612" s="239"/>
      <c r="K612" s="239"/>
      <c r="L612" s="239"/>
      <c r="M612" s="239"/>
      <c r="N612" s="239"/>
      <c r="O612" s="239"/>
      <c r="P612" s="239"/>
      <c r="Q612" s="239"/>
      <c r="R612" s="239"/>
      <c r="S612" s="239"/>
      <c r="T612" s="239"/>
      <c r="U612"/>
      <c r="V612"/>
      <c r="W612"/>
      <c r="X612"/>
      <c r="Y612"/>
      <c r="Z612"/>
      <c r="AA612"/>
    </row>
    <row r="613" spans="1:27" hidden="1" x14ac:dyDescent="0.2">
      <c r="A613" s="240"/>
      <c r="B613" s="318"/>
      <c r="C613" s="240"/>
      <c r="D613" s="241"/>
      <c r="E613" s="270"/>
      <c r="F613" s="271"/>
      <c r="G613" s="239"/>
      <c r="H613" s="239"/>
      <c r="I613" s="239"/>
      <c r="J613" s="239"/>
      <c r="K613" s="239"/>
      <c r="L613" s="239"/>
      <c r="M613" s="239"/>
      <c r="N613" s="239"/>
      <c r="O613" s="239"/>
      <c r="P613" s="239"/>
      <c r="Q613" s="239"/>
      <c r="R613" s="239"/>
      <c r="S613" s="239"/>
      <c r="T613" s="239"/>
      <c r="U613"/>
      <c r="V613"/>
      <c r="W613"/>
      <c r="X613"/>
      <c r="Y613"/>
      <c r="Z613"/>
      <c r="AA613"/>
    </row>
    <row r="614" spans="1:27" hidden="1" x14ac:dyDescent="0.2">
      <c r="A614" s="240"/>
      <c r="B614" s="318"/>
      <c r="C614" s="240"/>
      <c r="D614" s="241"/>
      <c r="E614" s="270"/>
      <c r="F614" s="271"/>
      <c r="G614" s="239"/>
      <c r="H614" s="239"/>
      <c r="I614" s="239"/>
      <c r="J614" s="239"/>
      <c r="K614" s="239"/>
      <c r="L614" s="239"/>
      <c r="M614" s="239"/>
      <c r="N614" s="239"/>
      <c r="O614" s="239"/>
      <c r="P614" s="239"/>
      <c r="Q614" s="239"/>
      <c r="R614" s="239"/>
      <c r="S614" s="239"/>
      <c r="T614" s="239"/>
      <c r="U614"/>
      <c r="V614"/>
      <c r="W614"/>
      <c r="X614"/>
      <c r="Y614"/>
      <c r="Z614"/>
      <c r="AA614"/>
    </row>
    <row r="615" spans="1:27" hidden="1" x14ac:dyDescent="0.2">
      <c r="A615" s="240"/>
      <c r="B615" s="318"/>
      <c r="C615" s="240"/>
      <c r="D615" s="241"/>
      <c r="E615" s="270"/>
      <c r="F615" s="271"/>
      <c r="G615" s="239"/>
      <c r="H615" s="239"/>
      <c r="I615" s="239"/>
      <c r="J615" s="239"/>
      <c r="K615" s="239"/>
      <c r="L615" s="239"/>
      <c r="M615" s="239"/>
      <c r="N615" s="239"/>
      <c r="O615" s="239"/>
      <c r="P615" s="239"/>
      <c r="Q615" s="239"/>
      <c r="R615" s="239"/>
      <c r="S615" s="239"/>
      <c r="T615" s="239"/>
      <c r="U615"/>
      <c r="V615"/>
      <c r="W615"/>
      <c r="X615"/>
      <c r="Y615"/>
      <c r="Z615"/>
      <c r="AA615"/>
    </row>
    <row r="616" spans="1:27" hidden="1" x14ac:dyDescent="0.2">
      <c r="A616" s="240"/>
      <c r="B616" s="318"/>
      <c r="C616" s="240"/>
      <c r="D616" s="241"/>
      <c r="E616" s="270"/>
      <c r="F616" s="271"/>
      <c r="G616" s="239"/>
      <c r="H616" s="239"/>
      <c r="I616" s="239"/>
      <c r="J616" s="239"/>
      <c r="K616" s="239"/>
      <c r="L616" s="239"/>
      <c r="M616" s="239"/>
      <c r="N616" s="239"/>
      <c r="O616" s="239"/>
      <c r="P616" s="239"/>
      <c r="Q616" s="239"/>
      <c r="R616" s="239"/>
      <c r="S616" s="239"/>
      <c r="T616" s="239"/>
      <c r="U616"/>
      <c r="V616"/>
      <c r="W616"/>
      <c r="X616"/>
      <c r="Y616"/>
      <c r="Z616"/>
      <c r="AA616"/>
    </row>
    <row r="617" spans="1:27" hidden="1" x14ac:dyDescent="0.2">
      <c r="A617" s="240"/>
      <c r="B617" s="318"/>
      <c r="C617" s="240"/>
      <c r="D617" s="241"/>
      <c r="E617" s="270"/>
      <c r="F617" s="271"/>
      <c r="G617" s="239"/>
      <c r="H617" s="239"/>
      <c r="I617" s="239"/>
      <c r="J617" s="239"/>
      <c r="K617" s="239"/>
      <c r="L617" s="239"/>
      <c r="M617" s="239"/>
      <c r="N617" s="239"/>
      <c r="O617" s="239"/>
      <c r="P617" s="239"/>
      <c r="Q617" s="239"/>
      <c r="R617" s="239"/>
      <c r="S617" s="239"/>
      <c r="T617" s="239"/>
      <c r="U617"/>
      <c r="V617"/>
      <c r="W617"/>
      <c r="X617"/>
      <c r="Y617"/>
      <c r="Z617"/>
      <c r="AA617"/>
    </row>
    <row r="618" spans="1:27" hidden="1" x14ac:dyDescent="0.2">
      <c r="A618" s="240"/>
      <c r="B618" s="318"/>
      <c r="C618" s="240"/>
      <c r="D618" s="241"/>
      <c r="E618" s="270"/>
      <c r="F618" s="271"/>
      <c r="G618" s="239"/>
      <c r="H618" s="239"/>
      <c r="I618" s="239"/>
      <c r="J618" s="239"/>
      <c r="K618" s="239"/>
      <c r="L618" s="239"/>
      <c r="M618" s="239"/>
      <c r="N618" s="239"/>
      <c r="O618" s="239"/>
      <c r="P618" s="239"/>
      <c r="Q618" s="239"/>
      <c r="R618" s="239"/>
      <c r="S618" s="239"/>
      <c r="T618" s="239"/>
      <c r="U618"/>
      <c r="V618"/>
      <c r="W618"/>
      <c r="X618"/>
      <c r="Y618"/>
      <c r="Z618"/>
      <c r="AA618"/>
    </row>
    <row r="619" spans="1:27" hidden="1" x14ac:dyDescent="0.2">
      <c r="A619" s="240"/>
      <c r="B619" s="318"/>
      <c r="C619" s="240"/>
      <c r="D619" s="241"/>
      <c r="E619" s="270"/>
      <c r="F619" s="271"/>
      <c r="G619" s="239"/>
      <c r="H619" s="239"/>
      <c r="I619" s="239"/>
      <c r="J619" s="239"/>
      <c r="K619" s="239"/>
      <c r="L619" s="239"/>
      <c r="M619" s="239"/>
      <c r="N619" s="239"/>
      <c r="O619" s="239"/>
      <c r="P619" s="239"/>
      <c r="Q619" s="239"/>
      <c r="R619" s="239"/>
      <c r="S619" s="239"/>
      <c r="T619" s="239"/>
      <c r="U619"/>
      <c r="V619"/>
      <c r="W619"/>
      <c r="X619"/>
      <c r="Y619"/>
      <c r="Z619"/>
      <c r="AA619"/>
    </row>
    <row r="620" spans="1:27" hidden="1" x14ac:dyDescent="0.2">
      <c r="A620" s="240"/>
      <c r="B620" s="318"/>
      <c r="C620" s="240"/>
      <c r="D620" s="241"/>
      <c r="E620" s="270"/>
      <c r="F620" s="271"/>
      <c r="G620" s="239"/>
      <c r="H620" s="239"/>
      <c r="I620" s="239"/>
      <c r="J620" s="239"/>
      <c r="K620" s="239"/>
      <c r="L620" s="239"/>
      <c r="M620" s="239"/>
      <c r="N620" s="239"/>
      <c r="O620" s="239"/>
      <c r="P620" s="239"/>
      <c r="Q620" s="239"/>
      <c r="R620" s="239"/>
      <c r="S620" s="239"/>
      <c r="T620" s="239"/>
      <c r="U620"/>
      <c r="V620"/>
      <c r="W620"/>
      <c r="X620"/>
      <c r="Y620"/>
      <c r="Z620"/>
      <c r="AA620"/>
    </row>
    <row r="621" spans="1:27" hidden="1" x14ac:dyDescent="0.2">
      <c r="A621" s="240"/>
      <c r="B621" s="318"/>
      <c r="C621" s="240"/>
      <c r="D621" s="241"/>
      <c r="E621" s="270"/>
      <c r="F621" s="271"/>
      <c r="G621" s="239"/>
      <c r="H621" s="239"/>
      <c r="I621" s="239"/>
      <c r="J621" s="239"/>
      <c r="K621" s="239"/>
      <c r="L621" s="239"/>
      <c r="M621" s="239"/>
      <c r="N621" s="239"/>
      <c r="O621" s="239"/>
      <c r="P621" s="239"/>
      <c r="Q621" s="239"/>
      <c r="R621" s="239"/>
      <c r="S621" s="239"/>
      <c r="T621" s="239"/>
      <c r="U621"/>
      <c r="V621"/>
      <c r="W621"/>
      <c r="X621"/>
      <c r="Y621"/>
      <c r="Z621"/>
      <c r="AA621"/>
    </row>
    <row r="622" spans="1:27" hidden="1" x14ac:dyDescent="0.2">
      <c r="A622" s="240"/>
      <c r="B622" s="318"/>
      <c r="C622" s="240"/>
      <c r="D622" s="241"/>
      <c r="E622" s="270"/>
      <c r="F622" s="271"/>
      <c r="G622" s="239"/>
      <c r="H622" s="239"/>
      <c r="I622" s="239"/>
      <c r="J622" s="239"/>
      <c r="K622" s="239"/>
      <c r="L622" s="239"/>
      <c r="M622" s="239"/>
      <c r="N622" s="239"/>
      <c r="O622" s="239"/>
      <c r="P622" s="239"/>
      <c r="Q622" s="239"/>
      <c r="R622" s="239"/>
      <c r="S622" s="239"/>
      <c r="T622" s="239"/>
      <c r="U622"/>
      <c r="V622"/>
      <c r="W622"/>
      <c r="X622"/>
      <c r="Y622"/>
      <c r="Z622"/>
      <c r="AA622"/>
    </row>
    <row r="623" spans="1:27" hidden="1" x14ac:dyDescent="0.2">
      <c r="A623" s="240"/>
      <c r="B623" s="318"/>
      <c r="C623" s="240"/>
      <c r="D623" s="241"/>
      <c r="E623" s="270"/>
      <c r="F623" s="271"/>
      <c r="G623" s="239"/>
      <c r="H623" s="239"/>
      <c r="I623" s="239"/>
      <c r="J623" s="239"/>
      <c r="K623" s="239"/>
      <c r="L623" s="239"/>
      <c r="M623" s="239"/>
      <c r="N623" s="239"/>
      <c r="O623" s="239"/>
      <c r="P623" s="239"/>
      <c r="Q623" s="239"/>
      <c r="R623" s="239"/>
      <c r="S623" s="239"/>
      <c r="T623" s="239"/>
      <c r="U623"/>
      <c r="V623"/>
      <c r="W623"/>
      <c r="X623"/>
      <c r="Y623"/>
      <c r="Z623"/>
      <c r="AA623"/>
    </row>
    <row r="624" spans="1:27" hidden="1" x14ac:dyDescent="0.2">
      <c r="A624" s="240"/>
      <c r="B624" s="318"/>
      <c r="C624" s="240"/>
      <c r="D624" s="241"/>
      <c r="E624" s="270"/>
      <c r="F624" s="271"/>
      <c r="G624" s="239"/>
      <c r="H624" s="239"/>
      <c r="I624" s="239"/>
      <c r="J624" s="239"/>
      <c r="K624" s="239"/>
      <c r="L624" s="239"/>
      <c r="M624" s="239"/>
      <c r="N624" s="239"/>
      <c r="O624" s="239"/>
      <c r="P624" s="239"/>
      <c r="Q624" s="239"/>
      <c r="R624" s="239"/>
      <c r="S624" s="239"/>
      <c r="T624" s="239"/>
      <c r="U624"/>
      <c r="V624"/>
      <c r="W624"/>
      <c r="X624"/>
      <c r="Y624"/>
      <c r="Z624"/>
      <c r="AA624"/>
    </row>
    <row r="625" spans="1:27" hidden="1" x14ac:dyDescent="0.2">
      <c r="A625" s="240"/>
      <c r="B625" s="318"/>
      <c r="C625" s="240"/>
      <c r="D625" s="241"/>
      <c r="E625" s="270"/>
      <c r="F625" s="271"/>
      <c r="G625" s="239"/>
      <c r="H625" s="239"/>
      <c r="I625" s="239"/>
      <c r="J625" s="239"/>
      <c r="K625" s="239"/>
      <c r="L625" s="239"/>
      <c r="M625" s="239"/>
      <c r="N625" s="239"/>
      <c r="O625" s="239"/>
      <c r="P625" s="239"/>
      <c r="Q625" s="239"/>
      <c r="R625" s="239"/>
      <c r="S625" s="239"/>
      <c r="T625" s="239"/>
      <c r="U625"/>
      <c r="V625"/>
      <c r="W625"/>
      <c r="X625"/>
      <c r="Y625"/>
      <c r="Z625"/>
      <c r="AA625"/>
    </row>
    <row r="626" spans="1:27" hidden="1" x14ac:dyDescent="0.2">
      <c r="A626" s="240"/>
      <c r="B626" s="318"/>
      <c r="C626" s="240"/>
      <c r="D626" s="241"/>
      <c r="E626" s="270"/>
      <c r="F626" s="271"/>
      <c r="G626" s="239"/>
      <c r="H626" s="239"/>
      <c r="I626" s="239"/>
      <c r="J626" s="239"/>
      <c r="K626" s="239"/>
      <c r="L626" s="239"/>
      <c r="M626" s="239"/>
      <c r="N626" s="239"/>
      <c r="O626" s="239"/>
      <c r="P626" s="239"/>
      <c r="Q626" s="239"/>
      <c r="R626" s="239"/>
      <c r="S626" s="239"/>
      <c r="T626" s="239"/>
      <c r="U626"/>
      <c r="V626"/>
      <c r="W626"/>
      <c r="X626"/>
      <c r="Y626"/>
      <c r="Z626"/>
      <c r="AA626"/>
    </row>
    <row r="627" spans="1:27" hidden="1" x14ac:dyDescent="0.2">
      <c r="A627" s="240"/>
      <c r="B627" s="318"/>
      <c r="C627" s="240"/>
      <c r="D627" s="241"/>
      <c r="E627" s="270"/>
      <c r="F627" s="271"/>
      <c r="G627" s="239"/>
      <c r="H627" s="239"/>
      <c r="I627" s="239"/>
      <c r="J627" s="239"/>
      <c r="K627" s="239"/>
      <c r="L627" s="239"/>
      <c r="M627" s="239"/>
      <c r="N627" s="239"/>
      <c r="O627" s="239"/>
      <c r="P627" s="239"/>
      <c r="Q627" s="239"/>
      <c r="R627" s="239"/>
      <c r="S627" s="239"/>
      <c r="T627" s="239"/>
      <c r="U627"/>
      <c r="V627"/>
      <c r="W627"/>
      <c r="X627"/>
      <c r="Y627"/>
      <c r="Z627"/>
      <c r="AA627"/>
    </row>
    <row r="628" spans="1:27" hidden="1" x14ac:dyDescent="0.2">
      <c r="A628" s="240"/>
      <c r="B628" s="318"/>
      <c r="C628" s="240"/>
      <c r="D628" s="241"/>
      <c r="E628" s="270"/>
      <c r="F628" s="271"/>
      <c r="G628" s="239"/>
      <c r="H628" s="239"/>
      <c r="I628" s="239"/>
      <c r="J628" s="239"/>
      <c r="K628" s="239"/>
      <c r="L628" s="239"/>
      <c r="M628" s="239"/>
      <c r="N628" s="239"/>
      <c r="O628" s="239"/>
      <c r="P628" s="239"/>
      <c r="Q628" s="239"/>
      <c r="R628" s="239"/>
      <c r="S628" s="239"/>
      <c r="T628" s="239"/>
      <c r="U628"/>
      <c r="V628"/>
      <c r="W628"/>
      <c r="X628"/>
      <c r="Y628"/>
      <c r="Z628"/>
      <c r="AA628"/>
    </row>
    <row r="629" spans="1:27" hidden="1" x14ac:dyDescent="0.2">
      <c r="A629" s="240"/>
      <c r="B629" s="318"/>
      <c r="C629" s="240"/>
      <c r="D629" s="241"/>
      <c r="E629" s="270"/>
      <c r="F629" s="271"/>
      <c r="G629" s="239"/>
      <c r="H629" s="239"/>
      <c r="I629" s="239"/>
      <c r="J629" s="239"/>
      <c r="K629" s="239"/>
      <c r="L629" s="239"/>
      <c r="M629" s="239"/>
      <c r="N629" s="239"/>
      <c r="O629" s="239"/>
      <c r="P629" s="239"/>
      <c r="Q629" s="239"/>
      <c r="R629" s="239"/>
      <c r="S629" s="239"/>
      <c r="T629" s="239"/>
      <c r="U629"/>
      <c r="V629"/>
      <c r="W629"/>
      <c r="X629"/>
      <c r="Y629"/>
      <c r="Z629"/>
      <c r="AA629"/>
    </row>
    <row r="630" spans="1:27" hidden="1" x14ac:dyDescent="0.2">
      <c r="A630" s="240"/>
      <c r="B630" s="318"/>
      <c r="C630" s="240"/>
      <c r="D630" s="241"/>
      <c r="E630" s="270"/>
      <c r="F630" s="271"/>
      <c r="G630" s="239"/>
      <c r="H630" s="239"/>
      <c r="I630" s="239"/>
      <c r="J630" s="239"/>
      <c r="K630" s="239"/>
      <c r="L630" s="239"/>
      <c r="M630" s="239"/>
      <c r="N630" s="239"/>
      <c r="O630" s="239"/>
      <c r="P630" s="239"/>
      <c r="Q630" s="239"/>
      <c r="R630" s="239"/>
      <c r="S630" s="239"/>
      <c r="T630" s="239"/>
      <c r="U630"/>
      <c r="V630"/>
      <c r="W630"/>
      <c r="X630"/>
      <c r="Y630"/>
      <c r="Z630"/>
      <c r="AA630"/>
    </row>
    <row r="631" spans="1:27" hidden="1" x14ac:dyDescent="0.2">
      <c r="A631" s="240"/>
      <c r="B631" s="318"/>
      <c r="C631" s="240"/>
      <c r="D631" s="241"/>
      <c r="E631" s="270"/>
      <c r="F631" s="271"/>
      <c r="G631" s="239"/>
      <c r="H631" s="239"/>
      <c r="I631" s="239"/>
      <c r="J631" s="239"/>
      <c r="K631" s="239"/>
      <c r="L631" s="239"/>
      <c r="M631" s="239"/>
      <c r="N631" s="239"/>
      <c r="O631" s="239"/>
      <c r="P631" s="239"/>
      <c r="Q631" s="239"/>
      <c r="R631" s="239"/>
      <c r="S631" s="239"/>
      <c r="T631" s="239"/>
      <c r="U631"/>
      <c r="V631"/>
      <c r="W631"/>
      <c r="X631"/>
      <c r="Y631"/>
      <c r="Z631"/>
      <c r="AA631"/>
    </row>
    <row r="632" spans="1:27" hidden="1" x14ac:dyDescent="0.2">
      <c r="A632" s="240"/>
      <c r="B632" s="318"/>
      <c r="C632" s="240"/>
      <c r="D632" s="241"/>
      <c r="E632" s="270"/>
      <c r="F632" s="271"/>
      <c r="G632" s="239"/>
      <c r="H632" s="239"/>
      <c r="I632" s="239"/>
      <c r="J632" s="239"/>
      <c r="K632" s="239"/>
      <c r="L632" s="239"/>
      <c r="M632" s="239"/>
      <c r="N632" s="239"/>
      <c r="O632" s="239"/>
      <c r="P632" s="239"/>
      <c r="Q632" s="239"/>
      <c r="R632" s="239"/>
      <c r="S632" s="239"/>
      <c r="T632" s="239"/>
      <c r="U632"/>
      <c r="V632"/>
      <c r="W632"/>
      <c r="X632"/>
      <c r="Y632"/>
      <c r="Z632"/>
      <c r="AA632"/>
    </row>
    <row r="633" spans="1:27" hidden="1" x14ac:dyDescent="0.2">
      <c r="A633" s="240"/>
      <c r="B633" s="318"/>
      <c r="C633" s="240"/>
      <c r="D633" s="241"/>
      <c r="E633" s="270"/>
      <c r="F633" s="271"/>
      <c r="G633" s="239"/>
      <c r="H633" s="239"/>
      <c r="I633" s="239"/>
      <c r="J633" s="239"/>
      <c r="K633" s="239"/>
      <c r="L633" s="239"/>
      <c r="M633" s="239"/>
      <c r="N633" s="239"/>
      <c r="O633" s="239"/>
      <c r="P633" s="239"/>
      <c r="Q633" s="239"/>
      <c r="R633" s="239"/>
      <c r="S633" s="239"/>
      <c r="T633" s="239"/>
      <c r="U633"/>
      <c r="V633"/>
      <c r="W633"/>
      <c r="X633"/>
      <c r="Y633"/>
      <c r="Z633"/>
      <c r="AA633"/>
    </row>
    <row r="634" spans="1:27" hidden="1" x14ac:dyDescent="0.2">
      <c r="A634" s="240"/>
      <c r="B634" s="318"/>
      <c r="C634" s="240"/>
      <c r="D634" s="241"/>
      <c r="E634" s="270"/>
      <c r="F634" s="271"/>
      <c r="G634" s="239"/>
      <c r="H634" s="239"/>
      <c r="I634" s="239"/>
      <c r="J634" s="239"/>
      <c r="K634" s="239"/>
      <c r="L634" s="239"/>
      <c r="M634" s="239"/>
      <c r="N634" s="239"/>
      <c r="O634" s="239"/>
      <c r="P634" s="239"/>
      <c r="Q634" s="239"/>
      <c r="R634" s="239"/>
      <c r="S634" s="239"/>
      <c r="T634" s="239"/>
      <c r="U634"/>
      <c r="V634"/>
      <c r="W634"/>
      <c r="X634"/>
      <c r="Y634"/>
      <c r="Z634"/>
      <c r="AA634"/>
    </row>
    <row r="635" spans="1:27" hidden="1" x14ac:dyDescent="0.2">
      <c r="A635" s="240"/>
      <c r="B635" s="318"/>
      <c r="C635" s="240"/>
      <c r="D635" s="241"/>
      <c r="E635" s="270"/>
      <c r="F635" s="271"/>
      <c r="G635" s="239"/>
      <c r="H635" s="239"/>
      <c r="I635" s="239"/>
      <c r="J635" s="239"/>
      <c r="K635" s="239"/>
      <c r="L635" s="239"/>
      <c r="M635" s="239"/>
      <c r="N635" s="239"/>
      <c r="O635" s="239"/>
      <c r="P635" s="239"/>
      <c r="Q635" s="239"/>
      <c r="R635" s="239"/>
      <c r="S635" s="239"/>
      <c r="T635" s="239"/>
      <c r="U635"/>
      <c r="V635"/>
      <c r="W635"/>
      <c r="X635"/>
      <c r="Y635"/>
      <c r="Z635"/>
      <c r="AA635"/>
    </row>
    <row r="636" spans="1:27" hidden="1" x14ac:dyDescent="0.2">
      <c r="A636" s="240"/>
      <c r="B636" s="318"/>
      <c r="C636" s="240"/>
      <c r="D636" s="241"/>
      <c r="E636" s="270"/>
      <c r="F636" s="271"/>
      <c r="G636" s="239"/>
      <c r="H636" s="239"/>
      <c r="I636" s="239"/>
      <c r="J636" s="239"/>
      <c r="K636" s="239"/>
      <c r="L636" s="239"/>
      <c r="M636" s="239"/>
      <c r="N636" s="239"/>
      <c r="O636" s="239"/>
      <c r="P636" s="239"/>
      <c r="Q636" s="239"/>
      <c r="R636" s="239"/>
      <c r="S636" s="239"/>
      <c r="T636" s="239"/>
      <c r="U636"/>
      <c r="V636"/>
      <c r="W636"/>
      <c r="X636"/>
      <c r="Y636"/>
      <c r="Z636"/>
      <c r="AA636"/>
    </row>
    <row r="637" spans="1:27" hidden="1" x14ac:dyDescent="0.2">
      <c r="A637" s="240"/>
      <c r="B637" s="318"/>
      <c r="C637" s="240"/>
      <c r="D637" s="241"/>
      <c r="E637" s="270"/>
      <c r="F637" s="271"/>
      <c r="G637" s="239"/>
      <c r="H637" s="239"/>
      <c r="I637" s="239"/>
      <c r="J637" s="239"/>
      <c r="K637" s="239"/>
      <c r="L637" s="239"/>
      <c r="M637" s="239"/>
      <c r="N637" s="239"/>
      <c r="O637" s="239"/>
      <c r="P637" s="239"/>
      <c r="Q637" s="239"/>
      <c r="R637" s="239"/>
      <c r="S637" s="239"/>
      <c r="T637" s="239"/>
      <c r="U637"/>
      <c r="V637"/>
      <c r="W637"/>
      <c r="X637"/>
      <c r="Y637"/>
      <c r="Z637"/>
      <c r="AA637"/>
    </row>
    <row r="638" spans="1:27" hidden="1" x14ac:dyDescent="0.2">
      <c r="A638" s="240"/>
      <c r="B638" s="318"/>
      <c r="C638" s="240"/>
      <c r="D638" s="241"/>
      <c r="E638" s="270"/>
      <c r="F638" s="271"/>
      <c r="G638" s="239"/>
      <c r="H638" s="239"/>
      <c r="I638" s="239"/>
      <c r="J638" s="239"/>
      <c r="K638" s="239"/>
      <c r="L638" s="239"/>
      <c r="M638" s="239"/>
      <c r="N638" s="239"/>
      <c r="O638" s="239"/>
      <c r="P638" s="239"/>
      <c r="Q638" s="239"/>
      <c r="R638" s="239"/>
      <c r="S638" s="239"/>
      <c r="T638" s="239"/>
      <c r="U638"/>
      <c r="V638"/>
      <c r="W638"/>
      <c r="X638"/>
      <c r="Y638"/>
      <c r="Z638"/>
      <c r="AA638"/>
    </row>
    <row r="639" spans="1:27" hidden="1" x14ac:dyDescent="0.2">
      <c r="A639" s="240"/>
      <c r="B639" s="318"/>
      <c r="C639" s="240"/>
      <c r="D639" s="241"/>
      <c r="E639" s="270"/>
      <c r="F639" s="271"/>
      <c r="G639" s="239"/>
      <c r="H639" s="239"/>
      <c r="I639" s="239"/>
      <c r="J639" s="239"/>
      <c r="K639" s="239"/>
      <c r="L639" s="239"/>
      <c r="M639" s="239"/>
      <c r="N639" s="239"/>
      <c r="O639" s="239"/>
      <c r="P639" s="239"/>
      <c r="Q639" s="239"/>
      <c r="R639" s="239"/>
      <c r="S639" s="239"/>
      <c r="T639" s="239"/>
      <c r="U639"/>
      <c r="V639"/>
      <c r="W639"/>
      <c r="X639"/>
      <c r="Y639"/>
      <c r="Z639"/>
      <c r="AA639"/>
    </row>
    <row r="640" spans="1:27" hidden="1" x14ac:dyDescent="0.2">
      <c r="A640" s="240"/>
      <c r="B640" s="318"/>
      <c r="C640" s="240"/>
      <c r="D640" s="241"/>
      <c r="E640" s="270"/>
      <c r="F640" s="271"/>
      <c r="G640" s="239"/>
      <c r="H640" s="239"/>
      <c r="I640" s="239"/>
      <c r="J640" s="239"/>
      <c r="K640" s="239"/>
      <c r="L640" s="239"/>
      <c r="M640" s="239"/>
      <c r="N640" s="239"/>
      <c r="O640" s="239"/>
      <c r="P640" s="239"/>
      <c r="Q640" s="239"/>
      <c r="R640" s="239"/>
      <c r="S640" s="239"/>
      <c r="T640" s="239"/>
      <c r="U640"/>
      <c r="V640"/>
      <c r="W640"/>
      <c r="X640"/>
      <c r="Y640"/>
      <c r="Z640"/>
      <c r="AA640"/>
    </row>
    <row r="641" spans="1:27" hidden="1" x14ac:dyDescent="0.2">
      <c r="A641" s="240"/>
      <c r="B641" s="318"/>
      <c r="C641" s="240"/>
      <c r="D641" s="241"/>
      <c r="E641" s="270"/>
      <c r="F641" s="271"/>
      <c r="G641" s="239"/>
      <c r="H641" s="239"/>
      <c r="I641" s="239"/>
      <c r="J641" s="239"/>
      <c r="K641" s="239"/>
      <c r="L641" s="239"/>
      <c r="M641" s="239"/>
      <c r="N641" s="239"/>
      <c r="O641" s="239"/>
      <c r="P641" s="239"/>
      <c r="Q641" s="239"/>
      <c r="R641" s="239"/>
      <c r="S641" s="239"/>
      <c r="T641" s="239"/>
      <c r="U641"/>
      <c r="V641"/>
      <c r="W641"/>
      <c r="X641"/>
      <c r="Y641"/>
      <c r="Z641"/>
      <c r="AA641"/>
    </row>
    <row r="642" spans="1:27" hidden="1" x14ac:dyDescent="0.2">
      <c r="A642" s="240"/>
      <c r="B642" s="318"/>
      <c r="C642" s="240"/>
      <c r="D642" s="241"/>
      <c r="E642" s="270"/>
      <c r="F642" s="271"/>
      <c r="G642" s="239"/>
      <c r="H642" s="239"/>
      <c r="I642" s="239"/>
      <c r="J642" s="239"/>
      <c r="K642" s="239"/>
      <c r="L642" s="239"/>
      <c r="M642" s="239"/>
      <c r="N642" s="239"/>
      <c r="O642" s="239"/>
      <c r="P642" s="239"/>
      <c r="Q642" s="239"/>
      <c r="R642" s="239"/>
      <c r="S642" s="239"/>
      <c r="T642" s="239"/>
      <c r="U642"/>
      <c r="V642"/>
      <c r="W642"/>
      <c r="X642"/>
      <c r="Y642"/>
      <c r="Z642"/>
      <c r="AA642"/>
    </row>
    <row r="643" spans="1:27" hidden="1" x14ac:dyDescent="0.2">
      <c r="A643" s="240"/>
      <c r="B643" s="318"/>
      <c r="C643" s="240"/>
      <c r="D643" s="241"/>
      <c r="E643" s="270"/>
      <c r="F643" s="271"/>
      <c r="G643" s="239"/>
      <c r="H643" s="239"/>
      <c r="I643" s="239"/>
      <c r="J643" s="239"/>
      <c r="K643" s="239"/>
      <c r="L643" s="239"/>
      <c r="M643" s="239"/>
      <c r="N643" s="239"/>
      <c r="O643" s="239"/>
      <c r="P643" s="239"/>
      <c r="Q643" s="239"/>
      <c r="R643" s="239"/>
      <c r="S643" s="239"/>
      <c r="T643" s="239"/>
      <c r="U643"/>
      <c r="V643"/>
      <c r="W643"/>
      <c r="X643"/>
      <c r="Y643"/>
      <c r="Z643"/>
      <c r="AA643"/>
    </row>
    <row r="644" spans="1:27" hidden="1" x14ac:dyDescent="0.2">
      <c r="A644" s="240"/>
      <c r="B644" s="318"/>
      <c r="C644" s="240"/>
      <c r="D644" s="241"/>
      <c r="E644" s="270"/>
      <c r="F644" s="271"/>
      <c r="G644" s="239"/>
      <c r="H644" s="239"/>
      <c r="I644" s="239"/>
      <c r="J644" s="239"/>
      <c r="K644" s="239"/>
      <c r="L644" s="239"/>
      <c r="M644" s="239"/>
      <c r="N644" s="239"/>
      <c r="O644" s="239"/>
      <c r="P644" s="239"/>
      <c r="Q644" s="239"/>
      <c r="R644" s="239"/>
      <c r="S644" s="239"/>
      <c r="T644" s="239"/>
      <c r="U644"/>
      <c r="V644"/>
      <c r="W644"/>
      <c r="X644"/>
      <c r="Y644"/>
      <c r="Z644"/>
      <c r="AA644"/>
    </row>
    <row r="645" spans="1:27" hidden="1" x14ac:dyDescent="0.2">
      <c r="A645" s="240"/>
      <c r="B645" s="318"/>
      <c r="C645" s="240"/>
      <c r="D645" s="241"/>
      <c r="E645" s="270"/>
      <c r="F645" s="271"/>
      <c r="G645" s="239"/>
      <c r="H645" s="239"/>
      <c r="I645" s="239"/>
      <c r="J645" s="239"/>
      <c r="K645" s="239"/>
      <c r="L645" s="239"/>
      <c r="M645" s="239"/>
      <c r="N645" s="239"/>
      <c r="O645" s="239"/>
      <c r="P645" s="239"/>
      <c r="Q645" s="239"/>
      <c r="R645" s="239"/>
      <c r="S645" s="239"/>
      <c r="T645" s="239"/>
      <c r="U645"/>
      <c r="V645"/>
      <c r="W645"/>
      <c r="X645"/>
      <c r="Y645"/>
      <c r="Z645"/>
      <c r="AA645"/>
    </row>
    <row r="646" spans="1:27" hidden="1" x14ac:dyDescent="0.2">
      <c r="A646" s="240"/>
      <c r="B646" s="318"/>
      <c r="C646" s="240"/>
      <c r="D646" s="241"/>
      <c r="E646" s="270"/>
      <c r="F646" s="271"/>
      <c r="G646" s="239"/>
      <c r="H646" s="239"/>
      <c r="I646" s="239"/>
      <c r="J646" s="239"/>
      <c r="K646" s="239"/>
      <c r="L646" s="239"/>
      <c r="M646" s="239"/>
      <c r="N646" s="239"/>
      <c r="O646" s="239"/>
      <c r="P646" s="239"/>
      <c r="Q646" s="239"/>
      <c r="R646" s="239"/>
      <c r="S646" s="239"/>
      <c r="T646" s="239"/>
      <c r="U646"/>
      <c r="V646"/>
      <c r="W646"/>
      <c r="X646"/>
      <c r="Y646"/>
      <c r="Z646"/>
      <c r="AA646"/>
    </row>
    <row r="647" spans="1:27" hidden="1" x14ac:dyDescent="0.2">
      <c r="A647" s="240"/>
      <c r="B647" s="318"/>
      <c r="C647" s="240"/>
      <c r="D647" s="241"/>
      <c r="E647" s="270"/>
      <c r="F647" s="271"/>
      <c r="G647" s="239"/>
      <c r="H647" s="239"/>
      <c r="I647" s="239"/>
      <c r="J647" s="239"/>
      <c r="K647" s="239"/>
      <c r="L647" s="239"/>
      <c r="M647" s="239"/>
      <c r="N647" s="239"/>
      <c r="O647" s="239"/>
      <c r="P647" s="239"/>
      <c r="Q647" s="239"/>
      <c r="R647" s="239"/>
      <c r="S647" s="239"/>
      <c r="T647" s="239"/>
      <c r="U647"/>
      <c r="V647"/>
      <c r="W647"/>
      <c r="X647"/>
      <c r="Y647"/>
      <c r="Z647"/>
      <c r="AA647"/>
    </row>
    <row r="648" spans="1:27" hidden="1" x14ac:dyDescent="0.2">
      <c r="A648" s="240"/>
      <c r="B648" s="318"/>
      <c r="C648" s="240"/>
      <c r="D648" s="241"/>
      <c r="E648" s="270"/>
      <c r="F648" s="271"/>
      <c r="G648" s="239"/>
      <c r="H648" s="239"/>
      <c r="I648" s="239"/>
      <c r="J648" s="239"/>
      <c r="K648" s="239"/>
      <c r="L648" s="239"/>
      <c r="M648" s="239"/>
      <c r="N648" s="239"/>
      <c r="O648" s="239"/>
      <c r="P648" s="239"/>
      <c r="Q648" s="239"/>
      <c r="R648" s="239"/>
      <c r="S648" s="239"/>
      <c r="T648" s="239"/>
      <c r="U648"/>
      <c r="V648"/>
      <c r="W648"/>
      <c r="X648"/>
      <c r="Y648"/>
      <c r="Z648"/>
      <c r="AA648"/>
    </row>
    <row r="649" spans="1:27" hidden="1" x14ac:dyDescent="0.2">
      <c r="A649" s="240"/>
      <c r="B649" s="318"/>
      <c r="C649" s="240"/>
      <c r="D649" s="241"/>
      <c r="E649" s="270"/>
      <c r="F649" s="271"/>
      <c r="G649" s="239"/>
      <c r="H649" s="239"/>
      <c r="I649" s="239"/>
      <c r="J649" s="239"/>
      <c r="K649" s="239"/>
      <c r="L649" s="239"/>
      <c r="M649" s="239"/>
      <c r="N649" s="239"/>
      <c r="O649" s="239"/>
      <c r="P649" s="239"/>
      <c r="Q649" s="239"/>
      <c r="R649" s="239"/>
      <c r="S649" s="239"/>
      <c r="T649" s="239"/>
      <c r="U649"/>
      <c r="V649"/>
      <c r="W649"/>
      <c r="X649"/>
      <c r="Y649"/>
      <c r="Z649"/>
      <c r="AA649"/>
    </row>
    <row r="650" spans="1:27" hidden="1" x14ac:dyDescent="0.2">
      <c r="A650" s="240"/>
      <c r="B650" s="318"/>
      <c r="C650" s="240"/>
      <c r="D650" s="241"/>
      <c r="E650" s="270"/>
      <c r="F650" s="271"/>
      <c r="G650" s="239"/>
      <c r="H650" s="239"/>
      <c r="I650" s="239"/>
      <c r="J650" s="239"/>
      <c r="K650" s="239"/>
      <c r="L650" s="239"/>
      <c r="M650" s="239"/>
      <c r="N650" s="239"/>
      <c r="O650" s="239"/>
      <c r="P650" s="239"/>
      <c r="Q650" s="239"/>
      <c r="R650" s="239"/>
      <c r="S650" s="239"/>
      <c r="T650" s="239"/>
      <c r="U650"/>
      <c r="V650"/>
      <c r="W650"/>
      <c r="X650"/>
      <c r="Y650"/>
      <c r="Z650"/>
      <c r="AA650"/>
    </row>
    <row r="651" spans="1:27" hidden="1" x14ac:dyDescent="0.2">
      <c r="A651" s="240"/>
      <c r="B651" s="318"/>
      <c r="C651" s="240"/>
      <c r="D651" s="241"/>
      <c r="E651" s="270"/>
      <c r="F651" s="271"/>
      <c r="G651" s="239"/>
      <c r="H651" s="239"/>
      <c r="I651" s="239"/>
      <c r="J651" s="239"/>
      <c r="K651" s="239"/>
      <c r="L651" s="239"/>
      <c r="M651" s="239"/>
      <c r="N651" s="239"/>
      <c r="O651" s="239"/>
      <c r="P651" s="239"/>
      <c r="Q651" s="239"/>
      <c r="R651" s="239"/>
      <c r="S651" s="239"/>
      <c r="T651" s="239"/>
      <c r="U651"/>
      <c r="V651"/>
      <c r="W651"/>
      <c r="X651"/>
      <c r="Y651"/>
      <c r="Z651"/>
      <c r="AA651"/>
    </row>
    <row r="652" spans="1:27" hidden="1" x14ac:dyDescent="0.2">
      <c r="A652" s="240"/>
      <c r="B652" s="318"/>
      <c r="C652" s="240"/>
      <c r="D652" s="241"/>
      <c r="E652" s="270"/>
      <c r="F652" s="271"/>
      <c r="G652" s="239"/>
      <c r="H652" s="239"/>
      <c r="I652" s="239"/>
      <c r="J652" s="239"/>
      <c r="K652" s="239"/>
      <c r="L652" s="239"/>
      <c r="M652" s="239"/>
      <c r="N652" s="239"/>
      <c r="O652" s="239"/>
      <c r="P652" s="239"/>
      <c r="Q652" s="239"/>
      <c r="R652" s="239"/>
      <c r="S652" s="239"/>
      <c r="T652" s="239"/>
      <c r="U652"/>
      <c r="V652"/>
      <c r="W652"/>
      <c r="X652"/>
      <c r="Y652"/>
      <c r="Z652"/>
      <c r="AA652"/>
    </row>
    <row r="653" spans="1:27" hidden="1" x14ac:dyDescent="0.2">
      <c r="A653" s="240"/>
      <c r="B653" s="318"/>
      <c r="C653" s="240"/>
      <c r="D653" s="241"/>
      <c r="E653" s="270"/>
      <c r="F653" s="271"/>
      <c r="G653" s="239"/>
      <c r="H653" s="239"/>
      <c r="I653" s="239"/>
      <c r="J653" s="239"/>
      <c r="K653" s="239"/>
      <c r="L653" s="239"/>
      <c r="M653" s="239"/>
      <c r="N653" s="239"/>
      <c r="O653" s="239"/>
      <c r="P653" s="239"/>
      <c r="Q653" s="239"/>
      <c r="R653" s="239"/>
      <c r="S653" s="239"/>
      <c r="T653" s="239"/>
      <c r="U653"/>
      <c r="V653"/>
      <c r="W653"/>
      <c r="X653"/>
      <c r="Y653"/>
      <c r="Z653"/>
      <c r="AA653"/>
    </row>
    <row r="654" spans="1:27" hidden="1" x14ac:dyDescent="0.2">
      <c r="A654" s="240"/>
      <c r="B654" s="318"/>
      <c r="C654" s="240"/>
      <c r="D654" s="241"/>
      <c r="E654" s="270"/>
      <c r="F654" s="271"/>
      <c r="G654" s="239"/>
      <c r="H654" s="239"/>
      <c r="I654" s="239"/>
      <c r="J654" s="239"/>
      <c r="K654" s="239"/>
      <c r="L654" s="239"/>
      <c r="M654" s="239"/>
      <c r="N654" s="239"/>
      <c r="O654" s="239"/>
      <c r="P654" s="239"/>
      <c r="Q654" s="239"/>
      <c r="R654" s="239"/>
      <c r="S654" s="239"/>
      <c r="T654" s="239"/>
      <c r="U654"/>
      <c r="V654"/>
      <c r="W654"/>
      <c r="X654"/>
      <c r="Y654"/>
      <c r="Z654"/>
      <c r="AA654"/>
    </row>
    <row r="655" spans="1:27" hidden="1" x14ac:dyDescent="0.2">
      <c r="A655" s="240"/>
      <c r="B655" s="318"/>
      <c r="C655" s="240"/>
      <c r="D655" s="241"/>
      <c r="E655" s="270"/>
      <c r="F655" s="271"/>
      <c r="G655" s="239"/>
      <c r="H655" s="239"/>
      <c r="I655" s="239"/>
      <c r="J655" s="239"/>
      <c r="K655" s="239"/>
      <c r="L655" s="239"/>
      <c r="M655" s="239"/>
      <c r="N655" s="239"/>
      <c r="O655" s="239"/>
      <c r="P655" s="239"/>
      <c r="Q655" s="239"/>
      <c r="R655" s="239"/>
      <c r="S655" s="239"/>
      <c r="T655" s="239"/>
      <c r="U655"/>
      <c r="V655"/>
      <c r="W655"/>
      <c r="X655"/>
      <c r="Y655"/>
      <c r="Z655"/>
      <c r="AA655"/>
    </row>
    <row r="656" spans="1:27" hidden="1" x14ac:dyDescent="0.2">
      <c r="A656" s="240"/>
      <c r="B656" s="318"/>
      <c r="C656" s="240"/>
      <c r="D656" s="241"/>
      <c r="E656" s="270"/>
      <c r="F656" s="271"/>
      <c r="G656" s="239"/>
      <c r="H656" s="239"/>
      <c r="I656" s="239"/>
      <c r="J656" s="239"/>
      <c r="K656" s="239"/>
      <c r="L656" s="239"/>
      <c r="M656" s="239"/>
      <c r="N656" s="239"/>
      <c r="O656" s="239"/>
      <c r="P656" s="239"/>
      <c r="Q656" s="239"/>
      <c r="R656" s="239"/>
      <c r="S656" s="239"/>
      <c r="T656" s="239"/>
      <c r="U656"/>
      <c r="V656"/>
      <c r="W656"/>
      <c r="X656"/>
      <c r="Y656"/>
      <c r="Z656"/>
      <c r="AA656"/>
    </row>
    <row r="657" spans="1:27" hidden="1" x14ac:dyDescent="0.2">
      <c r="A657" s="240"/>
      <c r="B657" s="318"/>
      <c r="C657" s="240"/>
      <c r="D657" s="241"/>
      <c r="E657" s="270"/>
      <c r="F657" s="271"/>
      <c r="G657" s="239"/>
      <c r="H657" s="239"/>
      <c r="I657" s="239"/>
      <c r="J657" s="239"/>
      <c r="K657" s="239"/>
      <c r="L657" s="239"/>
      <c r="M657" s="239"/>
      <c r="N657" s="239"/>
      <c r="O657" s="239"/>
      <c r="P657" s="239"/>
      <c r="Q657" s="239"/>
      <c r="R657" s="239"/>
      <c r="S657" s="239"/>
      <c r="T657" s="239"/>
      <c r="U657"/>
      <c r="V657"/>
      <c r="W657"/>
      <c r="X657"/>
      <c r="Y657"/>
      <c r="Z657"/>
      <c r="AA657"/>
    </row>
    <row r="658" spans="1:27" hidden="1" x14ac:dyDescent="0.2">
      <c r="A658" s="240"/>
      <c r="B658" s="318"/>
      <c r="C658" s="240"/>
      <c r="D658" s="241"/>
      <c r="E658" s="270"/>
      <c r="F658" s="271"/>
      <c r="G658" s="239"/>
      <c r="H658" s="239"/>
      <c r="I658" s="239"/>
      <c r="J658" s="239"/>
      <c r="K658" s="239"/>
      <c r="L658" s="239"/>
      <c r="M658" s="239"/>
      <c r="N658" s="239"/>
      <c r="O658" s="239"/>
      <c r="P658" s="239"/>
      <c r="Q658" s="239"/>
      <c r="R658" s="239"/>
      <c r="S658" s="239"/>
      <c r="T658" s="239"/>
      <c r="U658"/>
      <c r="V658"/>
      <c r="W658"/>
      <c r="X658"/>
      <c r="Y658"/>
      <c r="Z658"/>
      <c r="AA658"/>
    </row>
    <row r="659" spans="1:27" hidden="1" x14ac:dyDescent="0.2">
      <c r="A659" s="240"/>
      <c r="B659" s="318"/>
      <c r="C659" s="240"/>
      <c r="D659" s="241"/>
      <c r="E659" s="270"/>
      <c r="F659" s="271"/>
      <c r="G659" s="239"/>
      <c r="H659" s="239"/>
      <c r="I659" s="239"/>
      <c r="J659" s="239"/>
      <c r="K659" s="239"/>
      <c r="L659" s="239"/>
      <c r="M659" s="239"/>
      <c r="N659" s="239"/>
      <c r="O659" s="239"/>
      <c r="P659" s="239"/>
      <c r="Q659" s="239"/>
      <c r="R659" s="239"/>
      <c r="S659" s="239"/>
      <c r="T659" s="239"/>
      <c r="U659"/>
      <c r="V659"/>
      <c r="W659"/>
      <c r="X659"/>
      <c r="Y659"/>
      <c r="Z659"/>
      <c r="AA659"/>
    </row>
    <row r="660" spans="1:27" hidden="1" x14ac:dyDescent="0.2">
      <c r="A660" s="240"/>
      <c r="B660" s="318"/>
      <c r="C660" s="240"/>
      <c r="D660" s="241"/>
      <c r="E660" s="270"/>
      <c r="F660" s="271"/>
      <c r="G660" s="239"/>
      <c r="H660" s="239"/>
      <c r="I660" s="239"/>
      <c r="J660" s="239"/>
      <c r="K660" s="239"/>
      <c r="L660" s="239"/>
      <c r="M660" s="239"/>
      <c r="N660" s="239"/>
      <c r="O660" s="239"/>
      <c r="P660" s="239"/>
      <c r="Q660" s="239"/>
      <c r="R660" s="239"/>
      <c r="S660" s="239"/>
      <c r="T660" s="239"/>
      <c r="U660"/>
      <c r="V660"/>
      <c r="W660"/>
      <c r="X660"/>
      <c r="Y660"/>
      <c r="Z660"/>
      <c r="AA660"/>
    </row>
    <row r="661" spans="1:27" hidden="1" x14ac:dyDescent="0.2">
      <c r="A661" s="240"/>
      <c r="B661" s="318"/>
      <c r="C661" s="240"/>
      <c r="D661" s="241"/>
      <c r="E661" s="270"/>
      <c r="F661" s="271"/>
      <c r="G661" s="239"/>
      <c r="H661" s="239"/>
      <c r="I661" s="239"/>
      <c r="J661" s="239"/>
      <c r="K661" s="239"/>
      <c r="L661" s="239"/>
      <c r="M661" s="239"/>
      <c r="N661" s="239"/>
      <c r="O661" s="239"/>
      <c r="P661" s="239"/>
      <c r="Q661" s="239"/>
      <c r="R661" s="239"/>
      <c r="S661" s="239"/>
      <c r="T661" s="239"/>
      <c r="U661"/>
      <c r="V661"/>
      <c r="W661"/>
      <c r="X661"/>
      <c r="Y661"/>
      <c r="Z661"/>
      <c r="AA661"/>
    </row>
    <row r="662" spans="1:27" hidden="1" x14ac:dyDescent="0.2">
      <c r="A662" s="240"/>
      <c r="B662" s="318"/>
      <c r="C662" s="240"/>
      <c r="D662" s="241"/>
      <c r="E662" s="270"/>
      <c r="F662" s="271"/>
      <c r="G662" s="239"/>
      <c r="H662" s="239"/>
      <c r="I662" s="239"/>
      <c r="J662" s="239"/>
      <c r="K662" s="239"/>
      <c r="L662" s="239"/>
      <c r="M662" s="239"/>
      <c r="N662" s="239"/>
      <c r="O662" s="239"/>
      <c r="P662" s="239"/>
      <c r="Q662" s="239"/>
      <c r="R662" s="239"/>
      <c r="S662" s="239"/>
      <c r="T662" s="239"/>
      <c r="U662"/>
      <c r="V662"/>
      <c r="W662"/>
      <c r="X662"/>
      <c r="Y662"/>
      <c r="Z662"/>
      <c r="AA662"/>
    </row>
    <row r="663" spans="1:27" hidden="1" x14ac:dyDescent="0.2">
      <c r="A663" s="240"/>
      <c r="B663" s="318"/>
      <c r="C663" s="240"/>
      <c r="D663" s="241"/>
      <c r="E663" s="270"/>
      <c r="F663" s="271"/>
      <c r="G663" s="239"/>
      <c r="H663" s="239"/>
      <c r="I663" s="239"/>
      <c r="J663" s="239"/>
      <c r="K663" s="239"/>
      <c r="L663" s="239"/>
      <c r="M663" s="239"/>
      <c r="N663" s="239"/>
      <c r="O663" s="239"/>
      <c r="P663" s="239"/>
      <c r="Q663" s="239"/>
      <c r="R663" s="239"/>
      <c r="S663" s="239"/>
      <c r="T663" s="239"/>
      <c r="U663"/>
      <c r="V663"/>
      <c r="W663"/>
      <c r="X663"/>
      <c r="Y663"/>
      <c r="Z663"/>
      <c r="AA663"/>
    </row>
    <row r="664" spans="1:27" hidden="1" x14ac:dyDescent="0.2">
      <c r="A664" s="240"/>
      <c r="B664" s="318"/>
      <c r="C664" s="240"/>
      <c r="D664" s="241"/>
      <c r="E664" s="270"/>
      <c r="F664" s="271"/>
      <c r="G664" s="239"/>
      <c r="H664" s="239"/>
      <c r="I664" s="239"/>
      <c r="J664" s="239"/>
      <c r="K664" s="239"/>
      <c r="L664" s="239"/>
      <c r="M664" s="239"/>
      <c r="N664" s="239"/>
      <c r="O664" s="239"/>
      <c r="P664" s="239"/>
      <c r="Q664" s="239"/>
      <c r="R664" s="239"/>
      <c r="S664" s="239"/>
      <c r="T664" s="239"/>
      <c r="U664"/>
      <c r="V664"/>
      <c r="W664"/>
      <c r="X664"/>
      <c r="Y664"/>
      <c r="Z664"/>
      <c r="AA664"/>
    </row>
    <row r="665" spans="1:27" hidden="1" x14ac:dyDescent="0.2">
      <c r="A665" s="240"/>
      <c r="B665" s="318"/>
      <c r="C665" s="240"/>
      <c r="D665" s="241"/>
      <c r="E665" s="270"/>
      <c r="F665" s="271"/>
      <c r="G665" s="239"/>
      <c r="H665" s="239"/>
      <c r="I665" s="239"/>
      <c r="J665" s="239"/>
      <c r="K665" s="239"/>
      <c r="L665" s="239"/>
      <c r="M665" s="239"/>
      <c r="N665" s="239"/>
      <c r="O665" s="239"/>
      <c r="P665" s="239"/>
      <c r="Q665" s="239"/>
      <c r="R665" s="239"/>
      <c r="S665" s="239"/>
      <c r="T665" s="239"/>
      <c r="U665"/>
      <c r="V665"/>
      <c r="W665"/>
      <c r="X665"/>
      <c r="Y665"/>
      <c r="Z665"/>
      <c r="AA665"/>
    </row>
    <row r="666" spans="1:27" hidden="1" x14ac:dyDescent="0.2">
      <c r="A666" s="240"/>
      <c r="B666" s="318"/>
      <c r="C666" s="240"/>
      <c r="D666" s="241"/>
      <c r="E666" s="270"/>
      <c r="F666" s="271"/>
      <c r="G666" s="239"/>
      <c r="H666" s="239"/>
      <c r="I666" s="239"/>
      <c r="J666" s="239"/>
      <c r="K666" s="239"/>
      <c r="L666" s="239"/>
      <c r="M666" s="239"/>
      <c r="N666" s="239"/>
      <c r="O666" s="239"/>
      <c r="P666" s="239"/>
      <c r="Q666" s="239"/>
      <c r="R666" s="239"/>
      <c r="S666" s="239"/>
      <c r="T666" s="239"/>
      <c r="U666"/>
      <c r="V666"/>
      <c r="W666"/>
      <c r="X666"/>
      <c r="Y666"/>
      <c r="Z666"/>
      <c r="AA666"/>
    </row>
    <row r="667" spans="1:27" hidden="1" x14ac:dyDescent="0.2">
      <c r="A667" s="240"/>
      <c r="B667" s="318"/>
      <c r="C667" s="240"/>
      <c r="D667" s="241"/>
      <c r="E667" s="270"/>
      <c r="F667" s="271"/>
      <c r="G667" s="239"/>
      <c r="H667" s="239"/>
      <c r="I667" s="239"/>
      <c r="J667" s="239"/>
      <c r="K667" s="239"/>
      <c r="L667" s="239"/>
      <c r="M667" s="239"/>
      <c r="N667" s="239"/>
      <c r="O667" s="239"/>
      <c r="P667" s="239"/>
      <c r="Q667" s="239"/>
      <c r="R667" s="239"/>
      <c r="S667" s="239"/>
      <c r="T667" s="239"/>
      <c r="U667"/>
      <c r="V667"/>
      <c r="W667"/>
      <c r="X667"/>
      <c r="Y667"/>
      <c r="Z667"/>
      <c r="AA667"/>
    </row>
    <row r="668" spans="1:27" hidden="1" x14ac:dyDescent="0.2">
      <c r="A668" s="240"/>
      <c r="B668" s="318"/>
      <c r="C668" s="240"/>
      <c r="D668" s="241"/>
      <c r="E668" s="270"/>
      <c r="F668" s="271"/>
      <c r="G668" s="239"/>
      <c r="H668" s="239"/>
      <c r="I668" s="239"/>
      <c r="J668" s="239"/>
      <c r="K668" s="239"/>
      <c r="L668" s="239"/>
      <c r="M668" s="239"/>
      <c r="N668" s="239"/>
      <c r="O668" s="239"/>
      <c r="P668" s="239"/>
      <c r="Q668" s="239"/>
      <c r="R668" s="239"/>
      <c r="S668" s="239"/>
      <c r="T668" s="239"/>
      <c r="U668"/>
      <c r="V668"/>
      <c r="W668"/>
      <c r="X668"/>
      <c r="Y668"/>
      <c r="Z668"/>
      <c r="AA668"/>
    </row>
    <row r="669" spans="1:27" hidden="1" x14ac:dyDescent="0.2">
      <c r="A669" s="240"/>
      <c r="B669" s="318"/>
      <c r="C669" s="240"/>
      <c r="D669" s="241"/>
      <c r="E669" s="270"/>
      <c r="F669" s="271"/>
      <c r="G669" s="239"/>
      <c r="H669" s="239"/>
      <c r="I669" s="239"/>
      <c r="J669" s="239"/>
      <c r="K669" s="239"/>
      <c r="L669" s="239"/>
      <c r="M669" s="239"/>
      <c r="N669" s="239"/>
      <c r="O669" s="239"/>
      <c r="P669" s="239"/>
      <c r="Q669" s="239"/>
      <c r="R669" s="239"/>
      <c r="S669" s="239"/>
      <c r="T669" s="239"/>
      <c r="U669"/>
      <c r="V669"/>
      <c r="W669"/>
      <c r="X669"/>
      <c r="Y669"/>
      <c r="Z669"/>
      <c r="AA669"/>
    </row>
    <row r="670" spans="1:27" hidden="1" x14ac:dyDescent="0.2">
      <c r="A670" s="240"/>
      <c r="B670" s="318"/>
      <c r="C670" s="240"/>
      <c r="D670" s="241"/>
      <c r="E670" s="270"/>
      <c r="F670" s="271"/>
      <c r="G670" s="239"/>
      <c r="H670" s="239"/>
      <c r="I670" s="239"/>
      <c r="J670" s="239"/>
      <c r="K670" s="239"/>
      <c r="L670" s="239"/>
      <c r="M670" s="239"/>
      <c r="N670" s="239"/>
      <c r="O670" s="239"/>
      <c r="P670" s="239"/>
      <c r="Q670" s="239"/>
      <c r="R670" s="239"/>
      <c r="S670" s="239"/>
      <c r="T670" s="239"/>
      <c r="U670"/>
      <c r="V670"/>
      <c r="W670"/>
      <c r="X670"/>
      <c r="Y670"/>
      <c r="Z670"/>
      <c r="AA670"/>
    </row>
    <row r="671" spans="1:27" hidden="1" x14ac:dyDescent="0.2">
      <c r="A671" s="240"/>
      <c r="B671" s="318"/>
      <c r="C671" s="240"/>
      <c r="D671" s="241"/>
      <c r="E671" s="270"/>
      <c r="F671" s="271"/>
      <c r="G671" s="239"/>
      <c r="H671" s="239"/>
      <c r="I671" s="239"/>
      <c r="J671" s="239"/>
      <c r="K671" s="239"/>
      <c r="L671" s="239"/>
      <c r="M671" s="239"/>
      <c r="N671" s="239"/>
      <c r="O671" s="239"/>
      <c r="P671" s="239"/>
      <c r="Q671" s="239"/>
      <c r="R671" s="239"/>
      <c r="S671" s="239"/>
      <c r="T671" s="239"/>
      <c r="U671"/>
      <c r="V671"/>
      <c r="W671"/>
      <c r="X671"/>
      <c r="Y671"/>
      <c r="Z671"/>
      <c r="AA671"/>
    </row>
    <row r="672" spans="1:27" hidden="1" x14ac:dyDescent="0.2">
      <c r="A672" s="240"/>
      <c r="B672" s="318"/>
      <c r="C672" s="240"/>
      <c r="D672" s="241"/>
      <c r="E672" s="270"/>
      <c r="F672" s="271"/>
      <c r="G672" s="239"/>
      <c r="H672" s="239"/>
      <c r="I672" s="239"/>
      <c r="J672" s="239"/>
      <c r="K672" s="239"/>
      <c r="L672" s="239"/>
      <c r="M672" s="239"/>
      <c r="N672" s="239"/>
      <c r="O672" s="239"/>
      <c r="P672" s="239"/>
      <c r="Q672" s="239"/>
      <c r="R672" s="239"/>
      <c r="S672" s="239"/>
      <c r="T672" s="239"/>
      <c r="U672"/>
      <c r="V672"/>
      <c r="W672"/>
      <c r="X672"/>
      <c r="Y672"/>
      <c r="Z672"/>
      <c r="AA672"/>
    </row>
    <row r="673" spans="1:27" hidden="1" x14ac:dyDescent="0.2">
      <c r="A673" s="240"/>
      <c r="B673" s="318"/>
      <c r="C673" s="240"/>
      <c r="D673" s="241"/>
      <c r="E673" s="270"/>
      <c r="F673" s="271"/>
      <c r="G673" s="239"/>
      <c r="H673" s="239"/>
      <c r="I673" s="239"/>
      <c r="J673" s="239"/>
      <c r="K673" s="239"/>
      <c r="L673" s="239"/>
      <c r="M673" s="239"/>
      <c r="N673" s="239"/>
      <c r="O673" s="239"/>
      <c r="P673" s="239"/>
      <c r="Q673" s="239"/>
      <c r="R673" s="239"/>
      <c r="S673" s="239"/>
      <c r="T673" s="239"/>
      <c r="U673"/>
      <c r="V673"/>
      <c r="W673"/>
      <c r="X673"/>
      <c r="Y673"/>
      <c r="Z673"/>
      <c r="AA673"/>
    </row>
    <row r="674" spans="1:27" hidden="1" x14ac:dyDescent="0.2">
      <c r="A674" s="240"/>
      <c r="B674" s="318"/>
      <c r="C674" s="240"/>
      <c r="D674" s="241"/>
      <c r="E674" s="270"/>
      <c r="F674" s="271"/>
      <c r="G674" s="239"/>
      <c r="H674" s="239"/>
      <c r="I674" s="239"/>
      <c r="J674" s="239"/>
      <c r="K674" s="239"/>
      <c r="L674" s="239"/>
      <c r="M674" s="239"/>
      <c r="N674" s="239"/>
      <c r="O674" s="239"/>
      <c r="P674" s="239"/>
      <c r="Q674" s="239"/>
      <c r="R674" s="239"/>
      <c r="S674" s="239"/>
      <c r="T674" s="239"/>
      <c r="U674"/>
      <c r="V674"/>
      <c r="W674"/>
      <c r="X674"/>
      <c r="Y674"/>
      <c r="Z674"/>
      <c r="AA674"/>
    </row>
    <row r="675" spans="1:27" hidden="1" x14ac:dyDescent="0.2">
      <c r="A675" s="240"/>
      <c r="B675" s="318"/>
      <c r="C675" s="240"/>
      <c r="D675" s="241"/>
      <c r="E675" s="270"/>
      <c r="F675" s="271"/>
      <c r="G675" s="239"/>
      <c r="H675" s="239"/>
      <c r="I675" s="239"/>
      <c r="J675" s="239"/>
      <c r="K675" s="239"/>
      <c r="L675" s="239"/>
      <c r="M675" s="239"/>
      <c r="N675" s="239"/>
      <c r="O675" s="239"/>
      <c r="P675" s="239"/>
      <c r="Q675" s="239"/>
      <c r="R675" s="239"/>
      <c r="S675" s="239"/>
      <c r="T675" s="239"/>
      <c r="U675"/>
      <c r="V675"/>
      <c r="W675"/>
      <c r="X675"/>
      <c r="Y675"/>
      <c r="Z675"/>
      <c r="AA675"/>
    </row>
    <row r="676" spans="1:27" hidden="1" x14ac:dyDescent="0.2">
      <c r="A676" s="240"/>
      <c r="B676" s="318"/>
      <c r="C676" s="240"/>
      <c r="D676" s="241"/>
      <c r="E676" s="270"/>
      <c r="F676" s="271"/>
      <c r="G676" s="239"/>
      <c r="H676" s="239"/>
      <c r="I676" s="239"/>
      <c r="J676" s="239"/>
      <c r="K676" s="239"/>
      <c r="L676" s="239"/>
      <c r="M676" s="239"/>
      <c r="N676" s="239"/>
      <c r="O676" s="239"/>
      <c r="P676" s="239"/>
      <c r="Q676" s="239"/>
      <c r="R676" s="239"/>
      <c r="S676" s="239"/>
      <c r="T676" s="239"/>
      <c r="U676"/>
      <c r="V676"/>
      <c r="W676"/>
      <c r="X676"/>
      <c r="Y676"/>
      <c r="Z676"/>
      <c r="AA676"/>
    </row>
    <row r="677" spans="1:27" hidden="1" x14ac:dyDescent="0.2">
      <c r="A677" s="240"/>
      <c r="B677" s="318"/>
      <c r="C677" s="240"/>
      <c r="D677" s="241"/>
      <c r="E677" s="270"/>
      <c r="F677" s="271"/>
      <c r="G677" s="239"/>
      <c r="H677" s="239"/>
      <c r="I677" s="239"/>
      <c r="J677" s="239"/>
      <c r="K677" s="239"/>
      <c r="L677" s="239"/>
      <c r="M677" s="239"/>
      <c r="N677" s="239"/>
      <c r="O677" s="239"/>
      <c r="P677" s="239"/>
      <c r="Q677" s="239"/>
      <c r="R677" s="239"/>
      <c r="S677" s="239"/>
      <c r="T677" s="239"/>
      <c r="U677"/>
      <c r="V677"/>
      <c r="W677"/>
      <c r="X677"/>
      <c r="Y677"/>
      <c r="Z677"/>
      <c r="AA677"/>
    </row>
    <row r="678" spans="1:27" hidden="1" x14ac:dyDescent="0.2">
      <c r="A678" s="240"/>
      <c r="B678" s="318"/>
      <c r="C678" s="240"/>
      <c r="D678" s="241"/>
      <c r="E678" s="270"/>
      <c r="F678" s="271"/>
      <c r="G678" s="239"/>
      <c r="H678" s="239"/>
      <c r="I678" s="239"/>
      <c r="J678" s="239"/>
      <c r="K678" s="239"/>
      <c r="L678" s="239"/>
      <c r="M678" s="239"/>
      <c r="N678" s="239"/>
      <c r="O678" s="239"/>
      <c r="P678" s="239"/>
      <c r="Q678" s="239"/>
      <c r="R678" s="239"/>
      <c r="S678" s="239"/>
      <c r="T678" s="239"/>
      <c r="U678"/>
      <c r="V678"/>
      <c r="W678"/>
      <c r="X678"/>
      <c r="Y678"/>
      <c r="Z678"/>
      <c r="AA678"/>
    </row>
    <row r="679" spans="1:27" hidden="1" x14ac:dyDescent="0.2">
      <c r="A679" s="240"/>
      <c r="B679" s="318"/>
      <c r="C679" s="240"/>
      <c r="D679" s="241"/>
      <c r="E679" s="270"/>
      <c r="F679" s="271"/>
      <c r="G679" s="239"/>
      <c r="H679" s="239"/>
      <c r="I679" s="239"/>
      <c r="J679" s="239"/>
      <c r="K679" s="239"/>
      <c r="L679" s="239"/>
      <c r="M679" s="239"/>
      <c r="N679" s="239"/>
      <c r="O679" s="239"/>
      <c r="P679" s="239"/>
      <c r="Q679" s="239"/>
      <c r="R679" s="239"/>
      <c r="S679" s="239"/>
      <c r="T679" s="239"/>
      <c r="U679"/>
      <c r="V679"/>
      <c r="W679"/>
      <c r="X679"/>
      <c r="Y679"/>
      <c r="Z679"/>
      <c r="AA679"/>
    </row>
    <row r="680" spans="1:27" hidden="1" x14ac:dyDescent="0.2">
      <c r="A680" s="240"/>
      <c r="B680" s="318"/>
      <c r="C680" s="240"/>
      <c r="D680" s="241"/>
      <c r="E680" s="270"/>
      <c r="F680" s="271"/>
      <c r="G680" s="239"/>
      <c r="H680" s="239"/>
      <c r="I680" s="239"/>
      <c r="J680" s="239"/>
      <c r="K680" s="239"/>
      <c r="L680" s="239"/>
      <c r="M680" s="239"/>
      <c r="N680" s="239"/>
      <c r="O680" s="239"/>
      <c r="P680" s="239"/>
      <c r="Q680" s="239"/>
      <c r="R680" s="239"/>
      <c r="S680" s="239"/>
      <c r="T680" s="239"/>
      <c r="U680"/>
      <c r="V680"/>
      <c r="W680"/>
      <c r="X680"/>
      <c r="Y680"/>
      <c r="Z680"/>
      <c r="AA680"/>
    </row>
    <row r="681" spans="1:27" hidden="1" x14ac:dyDescent="0.2">
      <c r="A681" s="240"/>
      <c r="B681" s="318"/>
      <c r="C681" s="240"/>
      <c r="D681" s="241"/>
      <c r="E681" s="270"/>
      <c r="F681" s="271"/>
      <c r="G681" s="239"/>
      <c r="H681" s="239"/>
      <c r="I681" s="239"/>
      <c r="J681" s="239"/>
      <c r="K681" s="239"/>
      <c r="L681" s="239"/>
      <c r="M681" s="239"/>
      <c r="N681" s="239"/>
      <c r="O681" s="239"/>
      <c r="P681" s="239"/>
      <c r="Q681" s="239"/>
      <c r="R681" s="239"/>
      <c r="S681" s="239"/>
      <c r="T681" s="239"/>
      <c r="U681"/>
      <c r="V681"/>
      <c r="W681"/>
      <c r="X681"/>
      <c r="Y681"/>
      <c r="Z681"/>
      <c r="AA681"/>
    </row>
    <row r="682" spans="1:27" hidden="1" x14ac:dyDescent="0.2">
      <c r="A682" s="240"/>
      <c r="B682" s="318"/>
      <c r="C682" s="240"/>
      <c r="D682" s="241"/>
      <c r="E682" s="270"/>
      <c r="F682" s="271"/>
      <c r="G682" s="239"/>
      <c r="H682" s="239"/>
      <c r="I682" s="239"/>
      <c r="J682" s="239"/>
      <c r="K682" s="239"/>
      <c r="L682" s="239"/>
      <c r="M682" s="239"/>
      <c r="N682" s="239"/>
      <c r="O682" s="239"/>
      <c r="P682" s="239"/>
      <c r="Q682" s="239"/>
      <c r="R682" s="239"/>
      <c r="S682" s="239"/>
      <c r="T682" s="239"/>
      <c r="U682"/>
      <c r="V682"/>
      <c r="W682"/>
      <c r="X682"/>
      <c r="Y682"/>
      <c r="Z682"/>
      <c r="AA682"/>
    </row>
    <row r="683" spans="1:27" hidden="1" x14ac:dyDescent="0.2">
      <c r="A683" s="240"/>
      <c r="B683" s="318"/>
      <c r="C683" s="240"/>
      <c r="D683" s="241"/>
      <c r="E683" s="270"/>
      <c r="F683" s="271"/>
      <c r="G683" s="239"/>
      <c r="H683" s="239"/>
      <c r="I683" s="239"/>
      <c r="J683" s="239"/>
      <c r="K683" s="239"/>
      <c r="L683" s="239"/>
      <c r="M683" s="239"/>
      <c r="N683" s="239"/>
      <c r="O683" s="239"/>
      <c r="P683" s="239"/>
      <c r="Q683" s="239"/>
      <c r="R683" s="239"/>
      <c r="S683" s="239"/>
      <c r="T683" s="239"/>
      <c r="U683"/>
      <c r="V683"/>
      <c r="W683"/>
      <c r="X683"/>
      <c r="Y683"/>
      <c r="Z683"/>
      <c r="AA683"/>
    </row>
    <row r="684" spans="1:27" hidden="1" x14ac:dyDescent="0.2">
      <c r="A684" s="240"/>
      <c r="B684" s="318"/>
      <c r="C684" s="240"/>
      <c r="D684" s="241"/>
      <c r="E684" s="270"/>
      <c r="F684" s="271"/>
      <c r="G684" s="239"/>
      <c r="H684" s="239"/>
      <c r="I684" s="239"/>
      <c r="J684" s="239"/>
      <c r="K684" s="239"/>
      <c r="L684" s="239"/>
      <c r="M684" s="239"/>
      <c r="N684" s="239"/>
      <c r="O684" s="239"/>
      <c r="P684" s="239"/>
      <c r="Q684" s="239"/>
      <c r="R684" s="239"/>
      <c r="S684" s="239"/>
      <c r="T684" s="239"/>
      <c r="U684"/>
      <c r="V684"/>
      <c r="W684"/>
      <c r="X684"/>
      <c r="Y684"/>
      <c r="Z684"/>
      <c r="AA684"/>
    </row>
    <row r="685" spans="1:27" hidden="1" x14ac:dyDescent="0.2">
      <c r="A685" s="240"/>
      <c r="B685" s="318"/>
      <c r="C685" s="240"/>
      <c r="D685" s="241"/>
      <c r="E685" s="270"/>
      <c r="F685" s="271"/>
      <c r="G685" s="239"/>
      <c r="H685" s="239"/>
      <c r="I685" s="239"/>
      <c r="J685" s="239"/>
      <c r="K685" s="239"/>
      <c r="L685" s="239"/>
      <c r="M685" s="239"/>
      <c r="N685" s="239"/>
      <c r="O685" s="239"/>
      <c r="P685" s="239"/>
      <c r="Q685" s="239"/>
      <c r="R685" s="239"/>
      <c r="S685" s="239"/>
      <c r="T685" s="239"/>
      <c r="U685"/>
      <c r="V685"/>
      <c r="W685"/>
      <c r="X685"/>
      <c r="Y685"/>
      <c r="Z685"/>
      <c r="AA685"/>
    </row>
    <row r="686" spans="1:27" hidden="1" x14ac:dyDescent="0.2">
      <c r="A686" s="240"/>
      <c r="B686" s="318"/>
      <c r="C686" s="240"/>
      <c r="D686" s="241"/>
      <c r="E686" s="270"/>
      <c r="F686" s="271"/>
      <c r="G686" s="239"/>
      <c r="H686" s="239"/>
      <c r="I686" s="239"/>
      <c r="J686" s="239"/>
      <c r="K686" s="239"/>
      <c r="L686" s="239"/>
      <c r="M686" s="239"/>
      <c r="N686" s="239"/>
      <c r="O686" s="239"/>
      <c r="P686" s="239"/>
      <c r="Q686" s="239"/>
      <c r="R686" s="239"/>
      <c r="S686" s="239"/>
      <c r="T686" s="239"/>
      <c r="U686"/>
      <c r="V686"/>
      <c r="W686"/>
      <c r="X686"/>
      <c r="Y686"/>
      <c r="Z686"/>
      <c r="AA686"/>
    </row>
    <row r="687" spans="1:27" hidden="1" x14ac:dyDescent="0.2">
      <c r="A687" s="240"/>
      <c r="B687" s="318"/>
      <c r="C687" s="240"/>
      <c r="D687" s="241"/>
      <c r="E687" s="270"/>
      <c r="F687" s="271"/>
      <c r="G687" s="239"/>
      <c r="H687" s="239"/>
      <c r="I687" s="239"/>
      <c r="J687" s="239"/>
      <c r="K687" s="239"/>
      <c r="L687" s="239"/>
      <c r="M687" s="239"/>
      <c r="N687" s="239"/>
      <c r="O687" s="239"/>
      <c r="P687" s="239"/>
      <c r="Q687" s="239"/>
      <c r="R687" s="239"/>
      <c r="S687" s="239"/>
      <c r="T687" s="239"/>
      <c r="U687"/>
      <c r="V687"/>
      <c r="W687"/>
      <c r="X687"/>
      <c r="Y687"/>
      <c r="Z687"/>
      <c r="AA687"/>
    </row>
    <row r="688" spans="1:27" hidden="1" x14ac:dyDescent="0.2">
      <c r="A688" s="240"/>
      <c r="B688" s="318"/>
      <c r="C688" s="240"/>
      <c r="D688" s="241"/>
      <c r="E688" s="270"/>
      <c r="F688" s="271"/>
      <c r="G688" s="239"/>
      <c r="H688" s="239"/>
      <c r="I688" s="239"/>
      <c r="J688" s="239"/>
      <c r="K688" s="239"/>
      <c r="L688" s="239"/>
      <c r="M688" s="239"/>
      <c r="N688" s="239"/>
      <c r="O688" s="239"/>
      <c r="P688" s="239"/>
      <c r="Q688" s="239"/>
      <c r="R688" s="239"/>
      <c r="S688" s="239"/>
      <c r="T688" s="239"/>
      <c r="U688"/>
      <c r="V688"/>
      <c r="W688"/>
      <c r="X688"/>
      <c r="Y688"/>
      <c r="Z688"/>
      <c r="AA688"/>
    </row>
    <row r="689" spans="1:27" hidden="1" x14ac:dyDescent="0.2">
      <c r="A689" s="240"/>
      <c r="B689" s="318"/>
      <c r="C689" s="240"/>
      <c r="D689" s="241"/>
      <c r="E689" s="270"/>
      <c r="F689" s="271"/>
      <c r="G689" s="239"/>
      <c r="H689" s="239"/>
      <c r="I689" s="239"/>
      <c r="J689" s="239"/>
      <c r="K689" s="239"/>
      <c r="L689" s="239"/>
      <c r="M689" s="239"/>
      <c r="N689" s="239"/>
      <c r="O689" s="239"/>
      <c r="P689" s="239"/>
      <c r="Q689" s="239"/>
      <c r="R689" s="239"/>
      <c r="S689" s="239"/>
      <c r="T689" s="239"/>
      <c r="U689"/>
      <c r="V689"/>
      <c r="W689"/>
      <c r="X689"/>
      <c r="Y689"/>
      <c r="Z689"/>
      <c r="AA689"/>
    </row>
    <row r="690" spans="1:27" hidden="1" x14ac:dyDescent="0.2">
      <c r="A690" s="240"/>
      <c r="B690" s="318"/>
      <c r="C690" s="240"/>
      <c r="D690" s="241"/>
      <c r="E690" s="270"/>
      <c r="F690" s="271"/>
      <c r="G690" s="239"/>
      <c r="H690" s="239"/>
      <c r="I690" s="239"/>
      <c r="J690" s="239"/>
      <c r="K690" s="239"/>
      <c r="L690" s="239"/>
      <c r="M690" s="239"/>
      <c r="N690" s="239"/>
      <c r="O690" s="239"/>
      <c r="P690" s="239"/>
      <c r="Q690" s="239"/>
      <c r="R690" s="239"/>
      <c r="S690" s="239"/>
      <c r="T690" s="239"/>
      <c r="U690"/>
      <c r="V690"/>
      <c r="W690"/>
      <c r="X690"/>
      <c r="Y690"/>
      <c r="Z690"/>
      <c r="AA690"/>
    </row>
    <row r="691" spans="1:27" hidden="1" x14ac:dyDescent="0.2">
      <c r="A691" s="240"/>
      <c r="B691" s="318"/>
      <c r="C691" s="240"/>
      <c r="D691" s="241"/>
      <c r="E691" s="270"/>
      <c r="F691" s="271"/>
      <c r="G691" s="239"/>
      <c r="H691" s="239"/>
      <c r="I691" s="239"/>
      <c r="J691" s="239"/>
      <c r="K691" s="239"/>
      <c r="L691" s="239"/>
      <c r="M691" s="239"/>
      <c r="N691" s="239"/>
      <c r="O691" s="239"/>
      <c r="P691" s="239"/>
      <c r="Q691" s="239"/>
      <c r="R691" s="239"/>
      <c r="S691" s="239"/>
      <c r="T691" s="239"/>
      <c r="U691"/>
      <c r="V691"/>
      <c r="W691"/>
      <c r="X691"/>
      <c r="Y691"/>
      <c r="Z691"/>
      <c r="AA691"/>
    </row>
    <row r="692" spans="1:27" hidden="1" x14ac:dyDescent="0.2">
      <c r="A692" s="240"/>
      <c r="B692" s="318"/>
      <c r="C692" s="240"/>
      <c r="D692" s="241"/>
      <c r="E692" s="270"/>
      <c r="F692" s="271"/>
      <c r="G692" s="239"/>
      <c r="H692" s="239"/>
      <c r="I692" s="239"/>
      <c r="J692" s="239"/>
      <c r="K692" s="239"/>
      <c r="L692" s="239"/>
      <c r="M692" s="239"/>
      <c r="N692" s="239"/>
      <c r="O692" s="239"/>
      <c r="P692" s="239"/>
      <c r="Q692" s="239"/>
      <c r="R692" s="239"/>
      <c r="S692" s="239"/>
      <c r="T692" s="239"/>
      <c r="U692"/>
      <c r="V692"/>
      <c r="W692"/>
      <c r="X692"/>
      <c r="Y692"/>
      <c r="Z692"/>
      <c r="AA692"/>
    </row>
    <row r="693" spans="1:27" hidden="1" x14ac:dyDescent="0.2">
      <c r="A693" s="240"/>
      <c r="B693" s="318"/>
      <c r="C693" s="240"/>
      <c r="D693" s="241"/>
      <c r="E693" s="270"/>
      <c r="F693" s="271"/>
      <c r="G693" s="239"/>
      <c r="H693" s="239"/>
      <c r="I693" s="239"/>
      <c r="J693" s="239"/>
      <c r="K693" s="239"/>
      <c r="L693" s="239"/>
      <c r="M693" s="239"/>
      <c r="N693" s="239"/>
      <c r="O693" s="239"/>
      <c r="P693" s="239"/>
      <c r="Q693" s="239"/>
      <c r="R693" s="239"/>
      <c r="S693" s="239"/>
      <c r="T693" s="239"/>
      <c r="U693"/>
      <c r="V693"/>
      <c r="W693"/>
      <c r="X693"/>
      <c r="Y693"/>
      <c r="Z693"/>
      <c r="AA693"/>
    </row>
    <row r="694" spans="1:27" hidden="1" x14ac:dyDescent="0.2">
      <c r="A694" s="240"/>
      <c r="B694" s="318"/>
      <c r="C694" s="240"/>
      <c r="D694" s="241"/>
      <c r="E694" s="270"/>
      <c r="F694" s="271"/>
      <c r="G694" s="239"/>
      <c r="H694" s="239"/>
      <c r="I694" s="239"/>
      <c r="J694" s="239"/>
      <c r="K694" s="239"/>
      <c r="L694" s="239"/>
      <c r="M694" s="239"/>
      <c r="N694" s="239"/>
      <c r="O694" s="239"/>
      <c r="P694" s="239"/>
      <c r="Q694" s="239"/>
      <c r="R694" s="239"/>
      <c r="S694" s="239"/>
      <c r="T694" s="239"/>
      <c r="U694"/>
      <c r="V694"/>
      <c r="W694"/>
      <c r="X694"/>
      <c r="Y694"/>
      <c r="Z694"/>
      <c r="AA694"/>
    </row>
    <row r="695" spans="1:27" hidden="1" x14ac:dyDescent="0.2">
      <c r="A695" s="240"/>
      <c r="B695" s="318"/>
      <c r="C695" s="240"/>
      <c r="D695" s="241"/>
      <c r="E695" s="270"/>
      <c r="F695" s="271"/>
      <c r="G695" s="239"/>
      <c r="H695" s="239"/>
      <c r="I695" s="239"/>
      <c r="J695" s="239"/>
      <c r="K695" s="239"/>
      <c r="L695" s="239"/>
      <c r="M695" s="239"/>
      <c r="N695" s="239"/>
      <c r="O695" s="239"/>
      <c r="P695" s="239"/>
      <c r="Q695" s="239"/>
      <c r="R695" s="239"/>
      <c r="S695" s="239"/>
      <c r="T695" s="239"/>
      <c r="U695"/>
      <c r="V695"/>
      <c r="W695"/>
      <c r="X695"/>
      <c r="Y695"/>
      <c r="Z695"/>
      <c r="AA695"/>
    </row>
    <row r="696" spans="1:27" hidden="1" x14ac:dyDescent="0.2">
      <c r="A696" s="240"/>
      <c r="B696" s="318"/>
      <c r="C696" s="240"/>
      <c r="D696" s="241"/>
      <c r="E696" s="270"/>
      <c r="F696" s="271"/>
      <c r="G696" s="239"/>
      <c r="H696" s="239"/>
      <c r="I696" s="239"/>
      <c r="J696" s="239"/>
      <c r="K696" s="239"/>
      <c r="L696" s="239"/>
      <c r="M696" s="239"/>
      <c r="N696" s="239"/>
      <c r="O696" s="239"/>
      <c r="P696" s="239"/>
      <c r="Q696" s="239"/>
      <c r="R696" s="239"/>
      <c r="S696" s="239"/>
      <c r="T696" s="239"/>
      <c r="U696"/>
      <c r="V696"/>
      <c r="W696"/>
      <c r="X696"/>
      <c r="Y696"/>
      <c r="Z696"/>
      <c r="AA696"/>
    </row>
    <row r="697" spans="1:27" hidden="1" x14ac:dyDescent="0.2">
      <c r="A697" s="240"/>
      <c r="B697" s="318"/>
      <c r="C697" s="240"/>
      <c r="D697" s="241"/>
      <c r="E697" s="270"/>
      <c r="F697" s="271"/>
      <c r="G697" s="239"/>
      <c r="H697" s="239"/>
      <c r="I697" s="239"/>
      <c r="J697" s="239"/>
      <c r="K697" s="239"/>
      <c r="L697" s="239"/>
      <c r="M697" s="239"/>
      <c r="N697" s="239"/>
      <c r="O697" s="239"/>
      <c r="P697" s="239"/>
      <c r="Q697" s="239"/>
      <c r="R697" s="239"/>
      <c r="S697" s="239"/>
      <c r="T697" s="239"/>
      <c r="U697"/>
      <c r="V697"/>
      <c r="W697"/>
      <c r="X697"/>
      <c r="Y697"/>
      <c r="Z697"/>
      <c r="AA697"/>
    </row>
    <row r="698" spans="1:27" hidden="1" x14ac:dyDescent="0.2">
      <c r="A698" s="240"/>
      <c r="B698" s="318"/>
      <c r="C698" s="240"/>
      <c r="D698" s="241"/>
      <c r="E698" s="270"/>
      <c r="F698" s="271"/>
      <c r="G698" s="239"/>
      <c r="H698" s="239"/>
      <c r="I698" s="239"/>
      <c r="J698" s="239"/>
      <c r="K698" s="239"/>
      <c r="L698" s="239"/>
      <c r="M698" s="239"/>
      <c r="N698" s="239"/>
      <c r="O698" s="239"/>
      <c r="P698" s="239"/>
      <c r="Q698" s="239"/>
      <c r="R698" s="239"/>
      <c r="S698" s="239"/>
      <c r="T698" s="239"/>
      <c r="U698"/>
      <c r="V698"/>
      <c r="W698"/>
      <c r="X698"/>
      <c r="Y698"/>
      <c r="Z698"/>
      <c r="AA698"/>
    </row>
    <row r="699" spans="1:27" hidden="1" x14ac:dyDescent="0.2">
      <c r="A699" s="240"/>
      <c r="B699" s="318"/>
      <c r="C699" s="240"/>
      <c r="D699" s="241"/>
      <c r="E699" s="270"/>
      <c r="F699" s="271"/>
      <c r="G699" s="239"/>
      <c r="H699" s="239"/>
      <c r="I699" s="239"/>
      <c r="J699" s="239"/>
      <c r="K699" s="239"/>
      <c r="L699" s="239"/>
      <c r="M699" s="239"/>
      <c r="N699" s="239"/>
      <c r="O699" s="239"/>
      <c r="P699" s="239"/>
      <c r="Q699" s="239"/>
      <c r="R699" s="239"/>
      <c r="S699" s="239"/>
      <c r="T699" s="239"/>
      <c r="U699"/>
      <c r="V699"/>
      <c r="W699"/>
      <c r="X699"/>
      <c r="Y699"/>
      <c r="Z699"/>
      <c r="AA699"/>
    </row>
    <row r="700" spans="1:27" hidden="1" x14ac:dyDescent="0.2">
      <c r="A700" s="240"/>
      <c r="B700" s="318"/>
      <c r="C700" s="240"/>
      <c r="D700" s="241"/>
      <c r="E700" s="270"/>
      <c r="F700" s="271"/>
      <c r="G700" s="239"/>
      <c r="H700" s="239"/>
      <c r="I700" s="239"/>
      <c r="J700" s="239"/>
      <c r="K700" s="239"/>
      <c r="L700" s="239"/>
      <c r="M700" s="239"/>
      <c r="N700" s="239"/>
      <c r="O700" s="239"/>
      <c r="P700" s="239"/>
      <c r="Q700" s="239"/>
      <c r="R700" s="239"/>
      <c r="S700" s="239"/>
      <c r="T700" s="239"/>
      <c r="U700"/>
      <c r="V700"/>
      <c r="W700"/>
      <c r="X700"/>
      <c r="Y700"/>
      <c r="Z700"/>
      <c r="AA700"/>
    </row>
    <row r="701" spans="1:27" hidden="1" x14ac:dyDescent="0.2">
      <c r="A701" s="240"/>
      <c r="B701" s="318"/>
      <c r="C701" s="240"/>
      <c r="D701" s="241"/>
      <c r="E701" s="270"/>
      <c r="F701" s="271"/>
      <c r="G701" s="239"/>
      <c r="H701" s="239"/>
      <c r="I701" s="239"/>
      <c r="J701" s="239"/>
      <c r="K701" s="239"/>
      <c r="L701" s="239"/>
      <c r="M701" s="239"/>
      <c r="N701" s="239"/>
      <c r="O701" s="239"/>
      <c r="P701" s="239"/>
      <c r="Q701" s="239"/>
      <c r="R701" s="239"/>
      <c r="S701" s="239"/>
      <c r="T701" s="239"/>
      <c r="U701"/>
      <c r="V701"/>
      <c r="W701"/>
      <c r="X701"/>
      <c r="Y701"/>
      <c r="Z701"/>
      <c r="AA701"/>
    </row>
    <row r="702" spans="1:27" hidden="1" x14ac:dyDescent="0.2">
      <c r="A702" s="240"/>
      <c r="B702" s="318"/>
      <c r="C702" s="240"/>
      <c r="D702" s="241"/>
      <c r="E702" s="270"/>
      <c r="F702" s="271"/>
      <c r="G702" s="239"/>
      <c r="H702" s="239"/>
      <c r="I702" s="239"/>
      <c r="J702" s="239"/>
      <c r="K702" s="239"/>
      <c r="L702" s="239"/>
      <c r="M702" s="239"/>
      <c r="N702" s="239"/>
      <c r="O702" s="239"/>
      <c r="P702" s="239"/>
      <c r="Q702" s="239"/>
      <c r="R702" s="239"/>
      <c r="S702" s="239"/>
      <c r="T702" s="239"/>
      <c r="U702"/>
      <c r="V702"/>
      <c r="W702"/>
      <c r="X702"/>
      <c r="Y702"/>
      <c r="Z702"/>
      <c r="AA702"/>
    </row>
    <row r="703" spans="1:27" hidden="1" x14ac:dyDescent="0.2">
      <c r="A703" s="240"/>
      <c r="B703" s="318"/>
      <c r="C703" s="240"/>
      <c r="D703" s="241"/>
      <c r="E703" s="270"/>
      <c r="F703" s="271"/>
      <c r="G703" s="239"/>
      <c r="H703" s="239"/>
      <c r="I703" s="239"/>
      <c r="J703" s="239"/>
      <c r="K703" s="239"/>
      <c r="L703" s="239"/>
      <c r="M703" s="239"/>
      <c r="N703" s="239"/>
      <c r="O703" s="239"/>
      <c r="P703" s="239"/>
      <c r="Q703" s="239"/>
      <c r="R703" s="239"/>
      <c r="S703" s="239"/>
      <c r="T703" s="239"/>
      <c r="U703"/>
      <c r="V703"/>
      <c r="W703"/>
      <c r="X703"/>
      <c r="Y703"/>
      <c r="Z703"/>
      <c r="AA703"/>
    </row>
    <row r="704" spans="1:27" hidden="1" x14ac:dyDescent="0.2">
      <c r="A704" s="240"/>
      <c r="B704" s="318"/>
      <c r="C704" s="240"/>
      <c r="D704" s="241"/>
      <c r="E704" s="270"/>
      <c r="F704" s="271"/>
      <c r="G704" s="239"/>
      <c r="H704" s="239"/>
      <c r="I704" s="239"/>
      <c r="J704" s="239"/>
      <c r="K704" s="239"/>
      <c r="L704" s="239"/>
      <c r="M704" s="239"/>
      <c r="N704" s="239"/>
      <c r="O704" s="239"/>
      <c r="P704" s="239"/>
      <c r="Q704" s="239"/>
      <c r="R704" s="239"/>
      <c r="S704" s="239"/>
      <c r="T704" s="239"/>
      <c r="U704"/>
      <c r="V704"/>
      <c r="W704"/>
      <c r="X704"/>
      <c r="Y704"/>
      <c r="Z704"/>
      <c r="AA704"/>
    </row>
    <row r="705" spans="1:27" hidden="1" x14ac:dyDescent="0.2">
      <c r="A705" s="240"/>
      <c r="B705" s="318"/>
      <c r="C705" s="240"/>
      <c r="D705" s="241"/>
      <c r="E705" s="270"/>
      <c r="F705" s="271"/>
      <c r="G705" s="239"/>
      <c r="H705" s="239"/>
      <c r="I705" s="239"/>
      <c r="J705" s="239"/>
      <c r="K705" s="239"/>
      <c r="L705" s="239"/>
      <c r="M705" s="239"/>
      <c r="N705" s="239"/>
      <c r="O705" s="239"/>
      <c r="P705" s="239"/>
      <c r="Q705" s="239"/>
      <c r="R705" s="239"/>
      <c r="S705" s="239"/>
      <c r="T705" s="239"/>
      <c r="U705"/>
      <c r="V705"/>
      <c r="W705"/>
      <c r="X705"/>
      <c r="Y705"/>
      <c r="Z705"/>
      <c r="AA705"/>
    </row>
    <row r="706" spans="1:27" hidden="1" x14ac:dyDescent="0.2">
      <c r="A706" s="240"/>
      <c r="B706" s="318"/>
      <c r="C706" s="240"/>
      <c r="D706" s="241"/>
      <c r="E706" s="270"/>
      <c r="F706" s="271"/>
      <c r="G706" s="239"/>
      <c r="H706" s="239"/>
      <c r="I706" s="239"/>
      <c r="J706" s="239"/>
      <c r="K706" s="239"/>
      <c r="L706" s="239"/>
      <c r="M706" s="239"/>
      <c r="N706" s="239"/>
      <c r="O706" s="239"/>
      <c r="P706" s="239"/>
      <c r="Q706" s="239"/>
      <c r="R706" s="239"/>
      <c r="S706" s="239"/>
      <c r="T706" s="239"/>
      <c r="U706"/>
      <c r="V706"/>
      <c r="W706"/>
      <c r="X706"/>
      <c r="Y706"/>
      <c r="Z706"/>
      <c r="AA706"/>
    </row>
    <row r="707" spans="1:27" hidden="1" x14ac:dyDescent="0.2">
      <c r="A707" s="240"/>
      <c r="B707" s="318"/>
      <c r="C707" s="240"/>
      <c r="D707" s="241"/>
      <c r="E707" s="270"/>
      <c r="F707" s="271"/>
      <c r="G707" s="239"/>
      <c r="H707" s="239"/>
      <c r="I707" s="239"/>
      <c r="J707" s="239"/>
      <c r="K707" s="239"/>
      <c r="L707" s="239"/>
      <c r="M707" s="239"/>
      <c r="N707" s="239"/>
      <c r="O707" s="239"/>
      <c r="P707" s="239"/>
      <c r="Q707" s="239"/>
      <c r="R707" s="239"/>
      <c r="S707" s="239"/>
      <c r="T707" s="239"/>
      <c r="U707"/>
      <c r="V707"/>
      <c r="W707"/>
      <c r="X707"/>
      <c r="Y707"/>
      <c r="Z707"/>
      <c r="AA707"/>
    </row>
    <row r="708" spans="1:27" hidden="1" x14ac:dyDescent="0.2">
      <c r="A708" s="240"/>
      <c r="B708" s="318"/>
      <c r="C708" s="240"/>
      <c r="D708" s="241"/>
      <c r="E708" s="270"/>
      <c r="F708" s="271"/>
      <c r="G708" s="239"/>
      <c r="H708" s="239"/>
      <c r="I708" s="239"/>
      <c r="J708" s="239"/>
      <c r="K708" s="239"/>
      <c r="L708" s="239"/>
      <c r="M708" s="239"/>
      <c r="N708" s="239"/>
      <c r="O708" s="239"/>
      <c r="P708" s="239"/>
      <c r="Q708" s="239"/>
      <c r="R708" s="239"/>
      <c r="S708" s="239"/>
      <c r="T708" s="239"/>
      <c r="U708"/>
      <c r="V708"/>
      <c r="W708"/>
      <c r="X708"/>
      <c r="Y708"/>
      <c r="Z708"/>
      <c r="AA708"/>
    </row>
    <row r="709" spans="1:27" hidden="1" x14ac:dyDescent="0.2">
      <c r="A709" s="240"/>
      <c r="B709" s="318"/>
      <c r="C709" s="240"/>
      <c r="D709" s="241"/>
      <c r="E709" s="270"/>
      <c r="F709" s="271"/>
      <c r="G709" s="239"/>
      <c r="H709" s="239"/>
      <c r="I709" s="239"/>
      <c r="J709" s="239"/>
      <c r="K709" s="239"/>
      <c r="L709" s="239"/>
      <c r="M709" s="239"/>
      <c r="N709" s="239"/>
      <c r="O709" s="239"/>
      <c r="P709" s="239"/>
      <c r="Q709" s="239"/>
      <c r="R709" s="239"/>
      <c r="S709" s="239"/>
      <c r="T709" s="239"/>
      <c r="U709"/>
      <c r="V709"/>
      <c r="W709"/>
      <c r="X709"/>
      <c r="Y709"/>
      <c r="Z709"/>
      <c r="AA709"/>
    </row>
    <row r="710" spans="1:27" hidden="1" x14ac:dyDescent="0.2">
      <c r="A710" s="240"/>
      <c r="B710" s="318"/>
      <c r="C710" s="240"/>
      <c r="D710" s="241"/>
      <c r="E710" s="270"/>
      <c r="F710" s="271"/>
      <c r="G710" s="239"/>
      <c r="H710" s="239"/>
      <c r="I710" s="239"/>
      <c r="J710" s="239"/>
      <c r="K710" s="239"/>
      <c r="L710" s="239"/>
      <c r="M710" s="239"/>
      <c r="N710" s="239"/>
      <c r="O710" s="239"/>
      <c r="P710" s="239"/>
      <c r="Q710" s="239"/>
      <c r="R710" s="239"/>
      <c r="S710" s="239"/>
      <c r="T710" s="239"/>
      <c r="U710"/>
      <c r="V710"/>
      <c r="W710"/>
      <c r="X710"/>
      <c r="Y710"/>
      <c r="Z710"/>
      <c r="AA710"/>
    </row>
    <row r="711" spans="1:27" hidden="1" x14ac:dyDescent="0.2">
      <c r="A711" s="240"/>
      <c r="B711" s="318"/>
      <c r="C711" s="240"/>
      <c r="D711" s="241"/>
      <c r="E711" s="270"/>
      <c r="F711" s="271"/>
      <c r="G711" s="239"/>
      <c r="H711" s="239"/>
      <c r="I711" s="239"/>
      <c r="J711" s="239"/>
      <c r="K711" s="239"/>
      <c r="L711" s="239"/>
      <c r="M711" s="239"/>
      <c r="N711" s="239"/>
      <c r="O711" s="239"/>
      <c r="P711" s="239"/>
      <c r="Q711" s="239"/>
      <c r="R711" s="239"/>
      <c r="S711" s="239"/>
      <c r="T711" s="239"/>
      <c r="U711"/>
      <c r="V711"/>
      <c r="W711"/>
      <c r="X711"/>
      <c r="Y711"/>
      <c r="Z711"/>
      <c r="AA711"/>
    </row>
    <row r="712" spans="1:27" hidden="1" x14ac:dyDescent="0.2">
      <c r="A712" s="240"/>
      <c r="B712" s="318"/>
      <c r="C712" s="240"/>
      <c r="D712" s="241"/>
      <c r="E712" s="270"/>
      <c r="F712" s="271"/>
      <c r="G712" s="239"/>
      <c r="H712" s="239"/>
      <c r="I712" s="239"/>
      <c r="J712" s="239"/>
      <c r="K712" s="239"/>
      <c r="L712" s="239"/>
      <c r="M712" s="239"/>
      <c r="N712" s="239"/>
      <c r="O712" s="239"/>
      <c r="P712" s="239"/>
      <c r="Q712" s="239"/>
      <c r="R712" s="239"/>
      <c r="S712" s="239"/>
      <c r="T712" s="239"/>
      <c r="U712"/>
      <c r="V712"/>
      <c r="W712"/>
      <c r="X712"/>
      <c r="Y712"/>
      <c r="Z712"/>
      <c r="AA712"/>
    </row>
    <row r="713" spans="1:27" hidden="1" x14ac:dyDescent="0.2">
      <c r="A713" s="240"/>
      <c r="B713" s="318"/>
      <c r="C713" s="240"/>
      <c r="D713" s="241"/>
      <c r="E713" s="270"/>
      <c r="F713" s="271"/>
      <c r="G713" s="239"/>
      <c r="H713" s="239"/>
      <c r="I713" s="239"/>
      <c r="J713" s="239"/>
      <c r="K713" s="239"/>
      <c r="L713" s="239"/>
      <c r="M713" s="239"/>
      <c r="N713" s="239"/>
      <c r="O713" s="239"/>
      <c r="P713" s="239"/>
      <c r="Q713" s="239"/>
      <c r="R713" s="239"/>
      <c r="S713" s="239"/>
      <c r="T713" s="239"/>
      <c r="U713"/>
      <c r="V713"/>
      <c r="W713"/>
      <c r="X713"/>
      <c r="Y713"/>
      <c r="Z713"/>
      <c r="AA713"/>
    </row>
    <row r="714" spans="1:27" hidden="1" x14ac:dyDescent="0.2">
      <c r="A714" s="240"/>
      <c r="B714" s="318"/>
      <c r="C714" s="240"/>
      <c r="D714" s="241"/>
      <c r="E714" s="270"/>
      <c r="F714" s="271"/>
      <c r="G714" s="239"/>
      <c r="H714" s="239"/>
      <c r="I714" s="239"/>
      <c r="J714" s="239"/>
      <c r="K714" s="239"/>
      <c r="L714" s="239"/>
      <c r="M714" s="239"/>
      <c r="N714" s="239"/>
      <c r="O714" s="239"/>
      <c r="P714" s="239"/>
      <c r="Q714" s="239"/>
      <c r="R714" s="239"/>
      <c r="S714" s="239"/>
      <c r="T714" s="239"/>
      <c r="U714"/>
      <c r="V714"/>
      <c r="W714"/>
      <c r="X714"/>
      <c r="Y714"/>
      <c r="Z714"/>
      <c r="AA714"/>
    </row>
    <row r="715" spans="1:27" hidden="1" x14ac:dyDescent="0.2">
      <c r="A715" s="240"/>
      <c r="B715" s="318"/>
      <c r="C715" s="240"/>
      <c r="D715" s="241"/>
      <c r="E715" s="270"/>
      <c r="F715" s="271"/>
      <c r="G715" s="239"/>
      <c r="H715" s="239"/>
      <c r="I715" s="239"/>
      <c r="J715" s="239"/>
      <c r="K715" s="239"/>
      <c r="L715" s="239"/>
      <c r="M715" s="239"/>
      <c r="N715" s="239"/>
      <c r="O715" s="239"/>
      <c r="P715" s="239"/>
      <c r="Q715" s="239"/>
      <c r="R715" s="239"/>
      <c r="S715" s="239"/>
      <c r="T715" s="239"/>
      <c r="U715"/>
      <c r="V715"/>
      <c r="W715"/>
      <c r="X715"/>
      <c r="Y715"/>
      <c r="Z715"/>
      <c r="AA715"/>
    </row>
    <row r="716" spans="1:27" hidden="1" x14ac:dyDescent="0.2">
      <c r="A716" s="240"/>
      <c r="B716" s="318"/>
      <c r="C716" s="240"/>
      <c r="D716" s="241"/>
      <c r="E716" s="270"/>
      <c r="F716" s="271"/>
      <c r="G716" s="239"/>
      <c r="H716" s="239"/>
      <c r="I716" s="239"/>
      <c r="J716" s="239"/>
      <c r="K716" s="239"/>
      <c r="L716" s="239"/>
      <c r="M716" s="239"/>
      <c r="N716" s="239"/>
      <c r="O716" s="239"/>
      <c r="P716" s="239"/>
      <c r="Q716" s="239"/>
      <c r="R716" s="239"/>
      <c r="S716" s="239"/>
      <c r="T716" s="239"/>
      <c r="U716"/>
      <c r="V716"/>
      <c r="W716"/>
      <c r="X716"/>
      <c r="Y716"/>
      <c r="Z716"/>
      <c r="AA716"/>
    </row>
    <row r="717" spans="1:27" hidden="1" x14ac:dyDescent="0.2">
      <c r="A717" s="240"/>
      <c r="B717" s="318"/>
      <c r="C717" s="240"/>
      <c r="D717" s="241"/>
      <c r="E717" s="270"/>
      <c r="F717" s="271"/>
      <c r="G717" s="239"/>
      <c r="H717" s="239"/>
      <c r="I717" s="239"/>
      <c r="J717" s="239"/>
      <c r="K717" s="239"/>
      <c r="L717" s="239"/>
      <c r="M717" s="239"/>
      <c r="N717" s="239"/>
      <c r="O717" s="239"/>
      <c r="P717" s="239"/>
      <c r="Q717" s="239"/>
      <c r="R717" s="239"/>
      <c r="S717" s="239"/>
      <c r="T717" s="239"/>
      <c r="U717"/>
      <c r="V717"/>
      <c r="W717"/>
      <c r="X717"/>
      <c r="Y717"/>
      <c r="Z717"/>
      <c r="AA717"/>
    </row>
    <row r="718" spans="1:27" hidden="1" x14ac:dyDescent="0.2">
      <c r="A718" s="240"/>
      <c r="B718" s="318"/>
      <c r="C718" s="240"/>
      <c r="D718" s="241"/>
      <c r="E718" s="270"/>
      <c r="F718" s="271"/>
      <c r="G718" s="239"/>
      <c r="H718" s="239"/>
      <c r="I718" s="239"/>
      <c r="J718" s="239"/>
      <c r="K718" s="239"/>
      <c r="L718" s="239"/>
      <c r="M718" s="239"/>
      <c r="N718" s="239"/>
      <c r="O718" s="239"/>
      <c r="P718" s="239"/>
      <c r="Q718" s="239"/>
      <c r="R718" s="239"/>
      <c r="S718" s="239"/>
      <c r="T718" s="239"/>
      <c r="U718"/>
      <c r="V718"/>
      <c r="W718"/>
      <c r="X718"/>
      <c r="Y718"/>
      <c r="Z718"/>
      <c r="AA718"/>
    </row>
    <row r="719" spans="1:27" hidden="1" x14ac:dyDescent="0.2">
      <c r="A719" s="240"/>
      <c r="B719" s="318"/>
      <c r="C719" s="240"/>
      <c r="D719" s="241"/>
      <c r="E719" s="270"/>
      <c r="F719" s="271"/>
      <c r="G719" s="239"/>
      <c r="H719" s="239"/>
      <c r="I719" s="239"/>
      <c r="J719" s="239"/>
      <c r="K719" s="239"/>
      <c r="L719" s="239"/>
      <c r="M719" s="239"/>
      <c r="N719" s="239"/>
      <c r="O719" s="239"/>
      <c r="P719" s="239"/>
      <c r="Q719" s="239"/>
      <c r="R719" s="239"/>
      <c r="S719" s="239"/>
      <c r="T719" s="239"/>
      <c r="U719"/>
      <c r="V719"/>
      <c r="W719"/>
      <c r="X719"/>
      <c r="Y719"/>
      <c r="Z719"/>
      <c r="AA719"/>
    </row>
    <row r="720" spans="1:27" hidden="1" x14ac:dyDescent="0.2">
      <c r="A720" s="240"/>
      <c r="B720" s="318"/>
      <c r="C720" s="240"/>
      <c r="D720" s="241"/>
      <c r="E720" s="270"/>
      <c r="F720" s="271"/>
      <c r="G720" s="239"/>
      <c r="H720" s="239"/>
      <c r="I720" s="239"/>
      <c r="J720" s="239"/>
      <c r="K720" s="239"/>
      <c r="L720" s="239"/>
      <c r="M720" s="239"/>
      <c r="N720" s="239"/>
      <c r="O720" s="239"/>
      <c r="P720" s="239"/>
      <c r="Q720" s="239"/>
      <c r="R720" s="239"/>
      <c r="S720" s="239"/>
      <c r="T720" s="239"/>
      <c r="U720"/>
      <c r="V720"/>
      <c r="W720"/>
      <c r="X720"/>
      <c r="Y720"/>
      <c r="Z720"/>
      <c r="AA720"/>
    </row>
    <row r="721" spans="1:27" hidden="1" x14ac:dyDescent="0.2">
      <c r="A721" s="240"/>
      <c r="B721" s="318"/>
      <c r="C721" s="240"/>
      <c r="D721" s="241"/>
      <c r="E721" s="270"/>
      <c r="F721" s="271"/>
      <c r="G721" s="239"/>
      <c r="H721" s="239"/>
      <c r="I721" s="239"/>
      <c r="J721" s="239"/>
      <c r="K721" s="239"/>
      <c r="L721" s="239"/>
      <c r="M721" s="239"/>
      <c r="N721" s="239"/>
      <c r="O721" s="239"/>
      <c r="P721" s="239"/>
      <c r="Q721" s="239"/>
      <c r="R721" s="239"/>
      <c r="S721" s="239"/>
      <c r="T721" s="239"/>
      <c r="U721"/>
      <c r="V721"/>
      <c r="W721"/>
      <c r="X721"/>
      <c r="Y721"/>
      <c r="Z721"/>
      <c r="AA721"/>
    </row>
    <row r="722" spans="1:27" hidden="1" x14ac:dyDescent="0.2">
      <c r="A722" s="240"/>
      <c r="B722" s="318"/>
      <c r="C722" s="240"/>
      <c r="D722" s="241"/>
      <c r="E722" s="270"/>
      <c r="F722" s="271"/>
      <c r="G722" s="239"/>
      <c r="H722" s="239"/>
      <c r="I722" s="239"/>
      <c r="J722" s="239"/>
      <c r="K722" s="239"/>
      <c r="L722" s="239"/>
      <c r="M722" s="239"/>
      <c r="N722" s="239"/>
      <c r="O722" s="239"/>
      <c r="P722" s="239"/>
      <c r="Q722" s="239"/>
      <c r="R722" s="239"/>
      <c r="S722" s="239"/>
      <c r="T722" s="239"/>
      <c r="U722"/>
      <c r="V722"/>
      <c r="W722"/>
      <c r="X722"/>
      <c r="Y722"/>
      <c r="Z722"/>
      <c r="AA722"/>
    </row>
    <row r="723" spans="1:27" hidden="1" x14ac:dyDescent="0.2">
      <c r="A723" s="240"/>
      <c r="B723" s="318"/>
      <c r="C723" s="240"/>
      <c r="D723" s="241"/>
      <c r="E723" s="270"/>
      <c r="F723" s="271"/>
      <c r="G723" s="239"/>
      <c r="H723" s="239"/>
      <c r="I723" s="239"/>
      <c r="J723" s="239"/>
      <c r="K723" s="239"/>
      <c r="L723" s="239"/>
      <c r="M723" s="239"/>
      <c r="N723" s="239"/>
      <c r="O723" s="239"/>
      <c r="P723" s="239"/>
      <c r="Q723" s="239"/>
      <c r="R723" s="239"/>
      <c r="S723" s="239"/>
      <c r="T723" s="239"/>
      <c r="U723"/>
      <c r="V723"/>
      <c r="W723"/>
      <c r="X723"/>
      <c r="Y723"/>
      <c r="Z723"/>
      <c r="AA723"/>
    </row>
    <row r="724" spans="1:27" hidden="1" x14ac:dyDescent="0.2">
      <c r="A724" s="240"/>
      <c r="B724" s="318"/>
      <c r="C724" s="240"/>
      <c r="D724" s="241"/>
      <c r="E724" s="270"/>
      <c r="F724" s="271"/>
      <c r="G724" s="239"/>
      <c r="H724" s="239"/>
      <c r="I724" s="239"/>
      <c r="J724" s="239"/>
      <c r="K724" s="239"/>
      <c r="L724" s="239"/>
      <c r="M724" s="239"/>
      <c r="N724" s="239"/>
      <c r="O724" s="239"/>
      <c r="P724" s="239"/>
      <c r="Q724" s="239"/>
      <c r="R724" s="239"/>
      <c r="S724" s="239"/>
      <c r="T724" s="239"/>
      <c r="U724"/>
      <c r="V724"/>
      <c r="W724"/>
      <c r="X724"/>
      <c r="Y724"/>
      <c r="Z724"/>
      <c r="AA724"/>
    </row>
    <row r="725" spans="1:27" hidden="1" x14ac:dyDescent="0.2">
      <c r="A725" s="240"/>
      <c r="B725" s="318"/>
      <c r="C725" s="240"/>
      <c r="D725" s="241"/>
      <c r="E725" s="270"/>
      <c r="F725" s="271"/>
      <c r="G725" s="239"/>
      <c r="H725" s="239"/>
      <c r="I725" s="239"/>
      <c r="J725" s="239"/>
      <c r="K725" s="239"/>
      <c r="L725" s="239"/>
      <c r="M725" s="239"/>
      <c r="N725" s="239"/>
      <c r="O725" s="239"/>
      <c r="P725" s="239"/>
      <c r="Q725" s="239"/>
      <c r="R725" s="239"/>
      <c r="S725" s="239"/>
      <c r="T725" s="239"/>
      <c r="U725"/>
      <c r="V725"/>
      <c r="W725"/>
      <c r="X725"/>
      <c r="Y725"/>
      <c r="Z725"/>
      <c r="AA725"/>
    </row>
    <row r="726" spans="1:27" hidden="1" x14ac:dyDescent="0.2">
      <c r="A726" s="240"/>
      <c r="B726" s="318"/>
      <c r="C726" s="240"/>
      <c r="D726" s="241"/>
      <c r="E726" s="270"/>
      <c r="F726" s="271"/>
      <c r="G726" s="239"/>
      <c r="H726" s="239"/>
      <c r="I726" s="239"/>
      <c r="J726" s="239"/>
      <c r="K726" s="239"/>
      <c r="L726" s="239"/>
      <c r="M726" s="239"/>
      <c r="N726" s="239"/>
      <c r="O726" s="239"/>
      <c r="P726" s="239"/>
      <c r="Q726" s="239"/>
      <c r="R726" s="239"/>
      <c r="S726" s="239"/>
      <c r="T726" s="239"/>
      <c r="U726"/>
      <c r="V726"/>
      <c r="W726"/>
      <c r="X726"/>
      <c r="Y726"/>
      <c r="Z726"/>
      <c r="AA726"/>
    </row>
    <row r="727" spans="1:27" hidden="1" x14ac:dyDescent="0.2">
      <c r="A727" s="240"/>
      <c r="B727" s="318"/>
      <c r="C727" s="240"/>
      <c r="D727" s="241"/>
      <c r="E727" s="270"/>
      <c r="F727" s="271"/>
      <c r="G727" s="239"/>
      <c r="H727" s="239"/>
      <c r="I727" s="239"/>
      <c r="J727" s="239"/>
      <c r="K727" s="239"/>
      <c r="L727" s="239"/>
      <c r="M727" s="239"/>
      <c r="N727" s="239"/>
      <c r="O727" s="239"/>
      <c r="P727" s="239"/>
      <c r="Q727" s="239"/>
      <c r="R727" s="239"/>
      <c r="S727" s="239"/>
      <c r="T727" s="239"/>
      <c r="U727"/>
      <c r="V727"/>
      <c r="W727"/>
      <c r="X727"/>
      <c r="Y727"/>
      <c r="Z727"/>
      <c r="AA727"/>
    </row>
    <row r="728" spans="1:27" hidden="1" x14ac:dyDescent="0.2">
      <c r="A728" s="240"/>
      <c r="B728" s="318"/>
      <c r="C728" s="240"/>
      <c r="D728" s="241"/>
      <c r="E728" s="270"/>
      <c r="F728" s="271"/>
      <c r="G728" s="239"/>
      <c r="H728" s="239"/>
      <c r="I728" s="239"/>
      <c r="J728" s="239"/>
      <c r="K728" s="239"/>
      <c r="L728" s="239"/>
      <c r="M728" s="239"/>
      <c r="N728" s="239"/>
      <c r="O728" s="239"/>
      <c r="P728" s="239"/>
      <c r="Q728" s="239"/>
      <c r="R728" s="239"/>
      <c r="S728" s="239"/>
      <c r="T728" s="239"/>
      <c r="U728"/>
      <c r="V728"/>
      <c r="W728"/>
      <c r="X728"/>
      <c r="Y728"/>
      <c r="Z728"/>
      <c r="AA728"/>
    </row>
    <row r="729" spans="1:27" hidden="1" x14ac:dyDescent="0.2">
      <c r="A729" s="240"/>
      <c r="B729" s="318"/>
      <c r="C729" s="240"/>
      <c r="D729" s="241"/>
      <c r="E729" s="270"/>
      <c r="F729" s="271"/>
      <c r="G729" s="239"/>
      <c r="H729" s="239"/>
      <c r="I729" s="239"/>
      <c r="J729" s="239"/>
      <c r="K729" s="239"/>
      <c r="L729" s="239"/>
      <c r="M729" s="239"/>
      <c r="N729" s="239"/>
      <c r="O729" s="239"/>
      <c r="P729" s="239"/>
      <c r="Q729" s="239"/>
      <c r="R729" s="239"/>
      <c r="S729" s="239"/>
      <c r="T729" s="239"/>
      <c r="U729"/>
      <c r="V729"/>
      <c r="W729"/>
      <c r="X729"/>
      <c r="Y729"/>
      <c r="Z729"/>
      <c r="AA729"/>
    </row>
    <row r="730" spans="1:27" hidden="1" x14ac:dyDescent="0.2">
      <c r="A730" s="240"/>
      <c r="B730" s="318"/>
      <c r="C730" s="240"/>
      <c r="D730" s="241"/>
      <c r="E730" s="270"/>
      <c r="F730" s="271"/>
      <c r="G730" s="239"/>
      <c r="H730" s="239"/>
      <c r="I730" s="239"/>
      <c r="J730" s="239"/>
      <c r="K730" s="239"/>
      <c r="L730" s="239"/>
      <c r="M730" s="239"/>
      <c r="N730" s="239"/>
      <c r="O730" s="239"/>
      <c r="P730" s="239"/>
      <c r="Q730" s="239"/>
      <c r="R730" s="239"/>
      <c r="S730" s="239"/>
      <c r="T730" s="239"/>
      <c r="U730"/>
      <c r="V730"/>
      <c r="W730"/>
      <c r="X730"/>
      <c r="Y730"/>
      <c r="Z730"/>
      <c r="AA730"/>
    </row>
    <row r="731" spans="1:27" hidden="1" x14ac:dyDescent="0.2">
      <c r="A731" s="240"/>
      <c r="B731" s="318"/>
      <c r="C731" s="240"/>
      <c r="D731" s="241"/>
      <c r="E731" s="270"/>
      <c r="F731" s="271"/>
      <c r="G731" s="239"/>
      <c r="H731" s="239"/>
      <c r="I731" s="239"/>
      <c r="J731" s="239"/>
      <c r="K731" s="239"/>
      <c r="L731" s="239"/>
      <c r="M731" s="239"/>
      <c r="N731" s="239"/>
      <c r="O731" s="239"/>
      <c r="P731" s="239"/>
      <c r="Q731" s="239"/>
      <c r="R731" s="239"/>
      <c r="S731" s="239"/>
      <c r="T731" s="239"/>
      <c r="U731"/>
      <c r="V731"/>
      <c r="W731"/>
      <c r="X731"/>
      <c r="Y731"/>
      <c r="Z731"/>
      <c r="AA731"/>
    </row>
    <row r="732" spans="1:27" hidden="1" x14ac:dyDescent="0.2">
      <c r="A732" s="240"/>
      <c r="B732" s="318"/>
      <c r="C732" s="240"/>
      <c r="D732" s="241"/>
      <c r="E732" s="270"/>
      <c r="F732" s="271"/>
      <c r="G732" s="239"/>
      <c r="H732" s="239"/>
      <c r="I732" s="239"/>
      <c r="J732" s="239"/>
      <c r="K732" s="239"/>
      <c r="L732" s="239"/>
      <c r="M732" s="239"/>
      <c r="N732" s="239"/>
      <c r="O732" s="239"/>
      <c r="P732" s="239"/>
      <c r="Q732" s="239"/>
      <c r="R732" s="239"/>
      <c r="S732" s="239"/>
      <c r="T732" s="239"/>
      <c r="U732"/>
      <c r="V732"/>
      <c r="W732"/>
      <c r="X732"/>
      <c r="Y732"/>
      <c r="Z732"/>
      <c r="AA732"/>
    </row>
    <row r="733" spans="1:27" hidden="1" x14ac:dyDescent="0.2">
      <c r="A733" s="240"/>
      <c r="B733" s="318"/>
      <c r="C733" s="240"/>
      <c r="D733" s="241"/>
      <c r="E733" s="270"/>
      <c r="F733" s="271"/>
      <c r="G733" s="239"/>
      <c r="H733" s="239"/>
      <c r="I733" s="239"/>
      <c r="J733" s="239"/>
      <c r="K733" s="239"/>
      <c r="L733" s="239"/>
      <c r="M733" s="239"/>
      <c r="N733" s="239"/>
      <c r="O733" s="239"/>
      <c r="P733" s="239"/>
      <c r="Q733" s="239"/>
      <c r="R733" s="239"/>
      <c r="S733" s="239"/>
      <c r="T733" s="239"/>
      <c r="U733"/>
      <c r="V733"/>
      <c r="W733"/>
      <c r="X733"/>
      <c r="Y733"/>
      <c r="Z733"/>
      <c r="AA733"/>
    </row>
    <row r="734" spans="1:27" hidden="1" x14ac:dyDescent="0.2">
      <c r="A734" s="240"/>
      <c r="B734" s="318"/>
      <c r="C734" s="240"/>
      <c r="D734" s="241"/>
      <c r="E734" s="270"/>
      <c r="F734" s="271"/>
      <c r="G734" s="239"/>
      <c r="H734" s="239"/>
      <c r="I734" s="239"/>
      <c r="J734" s="239"/>
      <c r="K734" s="239"/>
      <c r="L734" s="239"/>
      <c r="M734" s="239"/>
      <c r="N734" s="239"/>
      <c r="O734" s="239"/>
      <c r="P734" s="239"/>
      <c r="Q734" s="239"/>
      <c r="R734" s="239"/>
      <c r="S734" s="239"/>
      <c r="T734" s="239"/>
      <c r="U734"/>
      <c r="V734"/>
      <c r="W734"/>
      <c r="X734"/>
      <c r="Y734"/>
      <c r="Z734"/>
      <c r="AA734"/>
    </row>
    <row r="735" spans="1:27" hidden="1" x14ac:dyDescent="0.2">
      <c r="A735" s="240"/>
      <c r="B735" s="318"/>
      <c r="C735" s="240"/>
      <c r="D735" s="241"/>
      <c r="E735" s="270"/>
      <c r="F735" s="271"/>
      <c r="G735" s="239"/>
      <c r="H735" s="239"/>
      <c r="I735" s="239"/>
      <c r="J735" s="239"/>
      <c r="K735" s="239"/>
      <c r="L735" s="239"/>
      <c r="M735" s="239"/>
      <c r="N735" s="239"/>
      <c r="O735" s="239"/>
      <c r="P735" s="239"/>
      <c r="Q735" s="239"/>
      <c r="R735" s="239"/>
      <c r="S735" s="239"/>
      <c r="T735" s="239"/>
      <c r="U735"/>
      <c r="V735"/>
      <c r="W735"/>
      <c r="X735"/>
      <c r="Y735"/>
      <c r="Z735"/>
      <c r="AA735"/>
    </row>
    <row r="736" spans="1:27" hidden="1" x14ac:dyDescent="0.2">
      <c r="A736" s="240"/>
      <c r="B736" s="318"/>
      <c r="C736" s="240"/>
      <c r="D736" s="241"/>
      <c r="E736" s="270"/>
      <c r="F736" s="271"/>
      <c r="G736" s="239"/>
      <c r="H736" s="239"/>
      <c r="I736" s="239"/>
      <c r="J736" s="239"/>
      <c r="K736" s="239"/>
      <c r="L736" s="239"/>
      <c r="M736" s="239"/>
      <c r="N736" s="239"/>
      <c r="O736" s="239"/>
      <c r="P736" s="239"/>
      <c r="Q736" s="239"/>
      <c r="R736" s="239"/>
      <c r="S736" s="239"/>
      <c r="T736" s="239"/>
      <c r="U736"/>
      <c r="V736"/>
      <c r="W736"/>
      <c r="X736"/>
      <c r="Y736"/>
      <c r="Z736"/>
      <c r="AA736"/>
    </row>
    <row r="737" spans="1:27" hidden="1" x14ac:dyDescent="0.2">
      <c r="A737" s="240"/>
      <c r="B737" s="318"/>
      <c r="C737" s="240"/>
      <c r="D737" s="241"/>
      <c r="E737" s="270"/>
      <c r="F737" s="271"/>
      <c r="G737" s="239"/>
      <c r="H737" s="239"/>
      <c r="I737" s="239"/>
      <c r="J737" s="239"/>
      <c r="K737" s="239"/>
      <c r="L737" s="239"/>
      <c r="M737" s="239"/>
      <c r="N737" s="239"/>
      <c r="O737" s="239"/>
      <c r="P737" s="239"/>
      <c r="Q737" s="239"/>
      <c r="R737" s="239"/>
      <c r="S737" s="239"/>
      <c r="T737" s="239"/>
      <c r="U737"/>
      <c r="V737"/>
      <c r="W737"/>
      <c r="X737"/>
      <c r="Y737"/>
      <c r="Z737"/>
      <c r="AA737"/>
    </row>
    <row r="738" spans="1:27" hidden="1" x14ac:dyDescent="0.2">
      <c r="A738" s="240"/>
      <c r="B738" s="318"/>
      <c r="C738" s="240"/>
      <c r="D738" s="241"/>
      <c r="E738" s="270"/>
      <c r="F738" s="271"/>
      <c r="G738" s="239"/>
      <c r="H738" s="239"/>
      <c r="I738" s="239"/>
      <c r="J738" s="239"/>
      <c r="K738" s="239"/>
      <c r="L738" s="239"/>
      <c r="M738" s="239"/>
      <c r="N738" s="239"/>
      <c r="O738" s="239"/>
      <c r="P738" s="239"/>
      <c r="Q738" s="239"/>
      <c r="R738" s="239"/>
      <c r="S738" s="239"/>
      <c r="T738" s="239"/>
      <c r="U738"/>
      <c r="V738"/>
      <c r="W738"/>
      <c r="X738"/>
      <c r="Y738"/>
      <c r="Z738"/>
      <c r="AA738"/>
    </row>
    <row r="739" spans="1:27" hidden="1" x14ac:dyDescent="0.2">
      <c r="A739" s="240"/>
      <c r="B739" s="318"/>
      <c r="C739" s="240"/>
      <c r="D739" s="241"/>
      <c r="E739" s="270"/>
      <c r="F739" s="271"/>
      <c r="G739" s="239"/>
      <c r="H739" s="239"/>
      <c r="I739" s="239"/>
      <c r="J739" s="239"/>
      <c r="K739" s="239"/>
      <c r="L739" s="239"/>
      <c r="M739" s="239"/>
      <c r="N739" s="239"/>
      <c r="O739" s="239"/>
      <c r="P739" s="239"/>
      <c r="Q739" s="239"/>
      <c r="R739" s="239"/>
      <c r="S739" s="239"/>
      <c r="T739" s="239"/>
      <c r="U739"/>
      <c r="V739"/>
      <c r="W739"/>
      <c r="X739"/>
      <c r="Y739"/>
      <c r="Z739"/>
      <c r="AA739"/>
    </row>
    <row r="740" spans="1:27" hidden="1" x14ac:dyDescent="0.2">
      <c r="A740" s="240"/>
      <c r="B740" s="318"/>
      <c r="C740" s="240"/>
      <c r="D740" s="241"/>
      <c r="E740" s="270"/>
      <c r="F740" s="271"/>
      <c r="G740" s="239"/>
      <c r="H740" s="239"/>
      <c r="I740" s="239"/>
      <c r="J740" s="239"/>
      <c r="K740" s="239"/>
      <c r="L740" s="239"/>
      <c r="M740" s="239"/>
      <c r="N740" s="239"/>
      <c r="O740" s="239"/>
      <c r="P740" s="239"/>
      <c r="Q740" s="239"/>
      <c r="R740" s="239"/>
      <c r="S740" s="239"/>
      <c r="T740" s="239"/>
      <c r="U740"/>
      <c r="V740"/>
      <c r="W740"/>
      <c r="X740"/>
      <c r="Y740"/>
      <c r="Z740"/>
      <c r="AA740"/>
    </row>
    <row r="741" spans="1:27" hidden="1" x14ac:dyDescent="0.2">
      <c r="A741" s="240"/>
      <c r="B741" s="318"/>
      <c r="C741" s="240"/>
      <c r="D741" s="241"/>
      <c r="E741" s="270"/>
      <c r="F741" s="271"/>
      <c r="G741" s="239"/>
      <c r="H741" s="239"/>
      <c r="I741" s="239"/>
      <c r="J741" s="239"/>
      <c r="K741" s="239"/>
      <c r="L741" s="239"/>
      <c r="M741" s="239"/>
      <c r="N741" s="239"/>
      <c r="O741" s="239"/>
      <c r="P741" s="239"/>
      <c r="Q741" s="239"/>
      <c r="R741" s="239"/>
      <c r="S741" s="239"/>
      <c r="T741" s="239"/>
      <c r="U741"/>
      <c r="V741"/>
      <c r="W741"/>
      <c r="X741"/>
      <c r="Y741"/>
      <c r="Z741"/>
      <c r="AA741"/>
    </row>
    <row r="742" spans="1:27" hidden="1" x14ac:dyDescent="0.2">
      <c r="A742" s="240"/>
      <c r="B742" s="318"/>
      <c r="C742" s="240"/>
      <c r="D742" s="241"/>
      <c r="E742" s="270"/>
      <c r="F742" s="271"/>
      <c r="G742" s="239"/>
      <c r="H742" s="239"/>
      <c r="I742" s="239"/>
      <c r="J742" s="239"/>
      <c r="K742" s="239"/>
      <c r="L742" s="239"/>
      <c r="M742" s="239"/>
      <c r="N742" s="239"/>
      <c r="O742" s="239"/>
      <c r="P742" s="239"/>
      <c r="Q742" s="239"/>
      <c r="R742" s="239"/>
      <c r="S742" s="239"/>
      <c r="T742" s="239"/>
      <c r="U742"/>
      <c r="V742"/>
      <c r="W742"/>
      <c r="X742"/>
      <c r="Y742"/>
      <c r="Z742"/>
      <c r="AA742"/>
    </row>
    <row r="743" spans="1:27" hidden="1" x14ac:dyDescent="0.2">
      <c r="A743" s="240"/>
      <c r="B743" s="318"/>
      <c r="C743" s="240"/>
      <c r="D743" s="241"/>
      <c r="E743" s="270"/>
      <c r="F743" s="271"/>
      <c r="G743" s="239"/>
      <c r="H743" s="239"/>
      <c r="I743" s="239"/>
      <c r="J743" s="239"/>
      <c r="K743" s="239"/>
      <c r="L743" s="239"/>
      <c r="M743" s="239"/>
      <c r="N743" s="239"/>
      <c r="O743" s="239"/>
      <c r="P743" s="239"/>
      <c r="Q743" s="239"/>
      <c r="R743" s="239"/>
      <c r="S743" s="239"/>
      <c r="T743" s="239"/>
      <c r="U743"/>
      <c r="V743"/>
      <c r="W743"/>
      <c r="X743"/>
      <c r="Y743"/>
      <c r="Z743"/>
      <c r="AA743"/>
    </row>
    <row r="744" spans="1:27" hidden="1" x14ac:dyDescent="0.2">
      <c r="A744" s="240"/>
      <c r="B744" s="318"/>
      <c r="C744" s="240"/>
      <c r="D744" s="241"/>
      <c r="E744" s="270"/>
      <c r="F744" s="271"/>
      <c r="G744" s="239"/>
      <c r="H744" s="239"/>
      <c r="I744" s="239"/>
      <c r="J744" s="239"/>
      <c r="K744" s="239"/>
      <c r="L744" s="239"/>
      <c r="M744" s="239"/>
      <c r="N744" s="239"/>
      <c r="O744" s="239"/>
      <c r="P744" s="239"/>
      <c r="Q744" s="239"/>
      <c r="R744" s="239"/>
      <c r="S744" s="239"/>
      <c r="T744" s="239"/>
      <c r="U744"/>
      <c r="V744"/>
      <c r="W744"/>
      <c r="X744"/>
      <c r="Y744"/>
      <c r="Z744"/>
      <c r="AA744"/>
    </row>
    <row r="745" spans="1:27" hidden="1" x14ac:dyDescent="0.2">
      <c r="A745" s="240"/>
      <c r="B745" s="318"/>
      <c r="C745" s="240"/>
      <c r="D745" s="241"/>
      <c r="E745" s="270"/>
      <c r="F745" s="271"/>
      <c r="G745" s="239"/>
      <c r="H745" s="239"/>
      <c r="I745" s="239"/>
      <c r="J745" s="239"/>
      <c r="K745" s="239"/>
      <c r="L745" s="239"/>
      <c r="M745" s="239"/>
      <c r="N745" s="239"/>
      <c r="O745" s="239"/>
      <c r="P745" s="239"/>
      <c r="Q745" s="239"/>
      <c r="R745" s="239"/>
      <c r="S745" s="239"/>
      <c r="T745" s="239"/>
      <c r="U745"/>
      <c r="V745"/>
      <c r="W745"/>
      <c r="X745"/>
      <c r="Y745"/>
      <c r="Z745"/>
      <c r="AA745"/>
    </row>
    <row r="746" spans="1:27" hidden="1" x14ac:dyDescent="0.2">
      <c r="A746" s="240"/>
      <c r="B746" s="318"/>
      <c r="C746" s="240"/>
      <c r="D746" s="241"/>
      <c r="E746" s="270"/>
      <c r="F746" s="271"/>
      <c r="G746" s="239"/>
      <c r="H746" s="239"/>
      <c r="I746" s="239"/>
      <c r="J746" s="239"/>
      <c r="K746" s="239"/>
      <c r="L746" s="239"/>
      <c r="M746" s="239"/>
      <c r="N746" s="239"/>
      <c r="O746" s="239"/>
      <c r="P746" s="239"/>
      <c r="Q746" s="239"/>
      <c r="R746" s="239"/>
      <c r="S746" s="239"/>
      <c r="T746" s="239"/>
      <c r="U746"/>
      <c r="V746"/>
      <c r="W746"/>
      <c r="X746"/>
      <c r="Y746"/>
      <c r="Z746"/>
      <c r="AA746"/>
    </row>
    <row r="747" spans="1:27" hidden="1" x14ac:dyDescent="0.2">
      <c r="A747" s="240"/>
      <c r="B747" s="318"/>
      <c r="C747" s="240"/>
      <c r="D747" s="241"/>
      <c r="E747" s="270"/>
      <c r="F747" s="271"/>
      <c r="G747" s="239"/>
      <c r="H747" s="239"/>
      <c r="I747" s="239"/>
      <c r="J747" s="239"/>
      <c r="K747" s="239"/>
      <c r="L747" s="239"/>
      <c r="M747" s="239"/>
      <c r="N747" s="239"/>
      <c r="O747" s="239"/>
      <c r="P747" s="239"/>
      <c r="Q747" s="239"/>
      <c r="R747" s="239"/>
      <c r="S747" s="239"/>
      <c r="T747" s="239"/>
      <c r="U747"/>
      <c r="V747"/>
      <c r="W747"/>
      <c r="X747"/>
      <c r="Y747"/>
      <c r="Z747"/>
      <c r="AA747"/>
    </row>
    <row r="748" spans="1:27" hidden="1" x14ac:dyDescent="0.2">
      <c r="A748" s="240"/>
      <c r="B748" s="318"/>
      <c r="C748" s="240"/>
      <c r="D748" s="241"/>
      <c r="E748" s="270"/>
      <c r="F748" s="271"/>
      <c r="G748" s="239"/>
      <c r="H748" s="239"/>
      <c r="I748" s="239"/>
      <c r="J748" s="239"/>
      <c r="K748" s="239"/>
      <c r="L748" s="239"/>
      <c r="M748" s="239"/>
      <c r="N748" s="239"/>
      <c r="O748" s="239"/>
      <c r="P748" s="239"/>
      <c r="Q748" s="239"/>
      <c r="R748" s="239"/>
      <c r="S748" s="239"/>
      <c r="T748" s="239"/>
      <c r="U748"/>
      <c r="V748"/>
      <c r="W748"/>
      <c r="X748"/>
      <c r="Y748"/>
      <c r="Z748"/>
      <c r="AA748"/>
    </row>
    <row r="749" spans="1:27" hidden="1" x14ac:dyDescent="0.2">
      <c r="A749" s="240"/>
      <c r="B749" s="318"/>
      <c r="C749" s="240"/>
      <c r="D749" s="241"/>
      <c r="E749" s="270"/>
      <c r="F749" s="271"/>
      <c r="G749" s="239"/>
      <c r="H749" s="239"/>
      <c r="I749" s="239"/>
      <c r="J749" s="239"/>
      <c r="K749" s="239"/>
      <c r="L749" s="239"/>
      <c r="M749" s="239"/>
      <c r="N749" s="239"/>
      <c r="O749" s="239"/>
      <c r="P749" s="239"/>
      <c r="Q749" s="239"/>
      <c r="R749" s="239"/>
      <c r="S749" s="239"/>
      <c r="T749" s="239"/>
      <c r="U749"/>
      <c r="V749"/>
      <c r="W749"/>
      <c r="X749"/>
      <c r="Y749"/>
      <c r="Z749"/>
      <c r="AA749"/>
    </row>
    <row r="750" spans="1:27" hidden="1" x14ac:dyDescent="0.2">
      <c r="A750" s="240"/>
      <c r="B750" s="318"/>
      <c r="C750" s="240"/>
      <c r="D750" s="241"/>
      <c r="E750" s="270"/>
      <c r="F750" s="271"/>
      <c r="G750" s="239"/>
      <c r="H750" s="239"/>
      <c r="I750" s="239"/>
      <c r="J750" s="239"/>
      <c r="K750" s="239"/>
      <c r="L750" s="239"/>
      <c r="M750" s="239"/>
      <c r="N750" s="239"/>
      <c r="O750" s="239"/>
      <c r="P750" s="239"/>
      <c r="Q750" s="239"/>
      <c r="R750" s="239"/>
      <c r="S750" s="239"/>
      <c r="T750" s="239"/>
      <c r="U750"/>
      <c r="V750"/>
      <c r="W750"/>
      <c r="X750"/>
      <c r="Y750"/>
      <c r="Z750"/>
      <c r="AA750"/>
    </row>
    <row r="751" spans="1:27" hidden="1" x14ac:dyDescent="0.2">
      <c r="A751" s="240"/>
      <c r="B751" s="318"/>
      <c r="C751" s="240"/>
      <c r="D751" s="241"/>
      <c r="E751" s="270"/>
      <c r="F751" s="271"/>
      <c r="G751" s="239"/>
      <c r="H751" s="239"/>
      <c r="I751" s="239"/>
      <c r="J751" s="239"/>
      <c r="K751" s="239"/>
      <c r="L751" s="239"/>
      <c r="M751" s="239"/>
      <c r="N751" s="239"/>
      <c r="O751" s="239"/>
      <c r="P751" s="239"/>
      <c r="Q751" s="239"/>
      <c r="R751" s="239"/>
      <c r="S751" s="239"/>
      <c r="T751" s="239"/>
      <c r="U751"/>
      <c r="V751"/>
      <c r="W751"/>
      <c r="X751"/>
      <c r="Y751"/>
      <c r="Z751"/>
      <c r="AA751"/>
    </row>
    <row r="752" spans="1:27" hidden="1" x14ac:dyDescent="0.2">
      <c r="A752" s="240"/>
      <c r="B752" s="318"/>
      <c r="C752" s="240"/>
      <c r="D752" s="241"/>
      <c r="E752" s="270"/>
      <c r="F752" s="271"/>
      <c r="G752" s="239"/>
      <c r="H752" s="239"/>
      <c r="I752" s="239"/>
      <c r="J752" s="239"/>
      <c r="K752" s="239"/>
      <c r="L752" s="239"/>
      <c r="M752" s="239"/>
      <c r="N752" s="239"/>
      <c r="O752" s="239"/>
      <c r="P752" s="239"/>
      <c r="Q752" s="239"/>
      <c r="R752" s="239"/>
      <c r="S752" s="239"/>
      <c r="T752" s="239"/>
      <c r="U752"/>
      <c r="V752"/>
      <c r="W752"/>
      <c r="X752"/>
      <c r="Y752"/>
      <c r="Z752"/>
      <c r="AA752"/>
    </row>
    <row r="753" spans="1:27" hidden="1" x14ac:dyDescent="0.2">
      <c r="A753" s="240"/>
      <c r="B753" s="318"/>
      <c r="C753" s="240"/>
      <c r="D753" s="241"/>
      <c r="E753" s="270"/>
      <c r="F753" s="271"/>
      <c r="G753" s="239"/>
      <c r="H753" s="239"/>
      <c r="I753" s="239"/>
      <c r="J753" s="239"/>
      <c r="K753" s="239"/>
      <c r="L753" s="239"/>
      <c r="M753" s="239"/>
      <c r="N753" s="239"/>
      <c r="O753" s="239"/>
      <c r="P753" s="239"/>
      <c r="Q753" s="239"/>
      <c r="R753" s="239"/>
      <c r="S753" s="239"/>
      <c r="T753" s="239"/>
      <c r="U753"/>
      <c r="V753"/>
      <c r="W753"/>
      <c r="X753"/>
      <c r="Y753"/>
      <c r="Z753"/>
      <c r="AA753"/>
    </row>
    <row r="754" spans="1:27" hidden="1" x14ac:dyDescent="0.2">
      <c r="A754" s="240"/>
      <c r="B754" s="318"/>
      <c r="C754" s="240"/>
      <c r="D754" s="241"/>
      <c r="E754" s="270"/>
      <c r="F754" s="271"/>
      <c r="G754" s="239"/>
      <c r="H754" s="239"/>
      <c r="I754" s="239"/>
      <c r="J754" s="239"/>
      <c r="K754" s="239"/>
      <c r="L754" s="239"/>
      <c r="M754" s="239"/>
      <c r="N754" s="239"/>
      <c r="O754" s="239"/>
      <c r="P754" s="239"/>
      <c r="Q754" s="239"/>
      <c r="R754" s="239"/>
      <c r="S754" s="239"/>
      <c r="T754" s="239"/>
      <c r="U754"/>
      <c r="V754"/>
      <c r="W754"/>
      <c r="X754"/>
      <c r="Y754"/>
      <c r="Z754"/>
      <c r="AA754"/>
    </row>
    <row r="755" spans="1:27" hidden="1" x14ac:dyDescent="0.2">
      <c r="A755" s="240"/>
      <c r="B755" s="318"/>
      <c r="C755" s="240"/>
      <c r="D755" s="241"/>
      <c r="E755" s="270"/>
      <c r="F755" s="271"/>
      <c r="G755" s="239"/>
      <c r="H755" s="239"/>
      <c r="I755" s="239"/>
      <c r="J755" s="239"/>
      <c r="K755" s="239"/>
      <c r="L755" s="239"/>
      <c r="M755" s="239"/>
      <c r="N755" s="239"/>
      <c r="O755" s="239"/>
      <c r="P755" s="239"/>
      <c r="Q755" s="239"/>
      <c r="R755" s="239"/>
      <c r="S755" s="239"/>
      <c r="T755" s="239"/>
      <c r="U755"/>
      <c r="V755"/>
      <c r="W755"/>
      <c r="X755"/>
      <c r="Y755"/>
      <c r="Z755"/>
      <c r="AA755"/>
    </row>
    <row r="756" spans="1:27" hidden="1" x14ac:dyDescent="0.2">
      <c r="A756" s="240"/>
      <c r="B756" s="318"/>
      <c r="C756" s="240"/>
      <c r="D756" s="241"/>
      <c r="E756" s="270"/>
      <c r="F756" s="271"/>
      <c r="G756" s="239"/>
      <c r="H756" s="239"/>
      <c r="I756" s="239"/>
      <c r="J756" s="239"/>
      <c r="K756" s="239"/>
      <c r="L756" s="239"/>
      <c r="M756" s="239"/>
      <c r="N756" s="239"/>
      <c r="O756" s="239"/>
      <c r="P756" s="239"/>
      <c r="Q756" s="239"/>
      <c r="R756" s="239"/>
      <c r="S756" s="239"/>
      <c r="T756" s="239"/>
      <c r="U756"/>
      <c r="V756"/>
      <c r="W756"/>
      <c r="X756"/>
      <c r="Y756"/>
      <c r="Z756"/>
      <c r="AA756"/>
    </row>
    <row r="757" spans="1:27" hidden="1" x14ac:dyDescent="0.2">
      <c r="A757" s="240"/>
      <c r="B757" s="318"/>
      <c r="C757" s="240"/>
      <c r="D757" s="241"/>
      <c r="E757" s="270"/>
      <c r="F757" s="271"/>
      <c r="G757" s="239"/>
      <c r="H757" s="239"/>
      <c r="I757" s="239"/>
      <c r="J757" s="239"/>
      <c r="K757" s="239"/>
      <c r="L757" s="239"/>
      <c r="M757" s="239"/>
      <c r="N757" s="239"/>
      <c r="O757" s="239"/>
      <c r="P757" s="239"/>
      <c r="Q757" s="239"/>
      <c r="R757" s="239"/>
      <c r="S757" s="239"/>
      <c r="T757" s="239"/>
      <c r="U757"/>
      <c r="V757"/>
      <c r="W757"/>
      <c r="X757"/>
      <c r="Y757"/>
      <c r="Z757"/>
      <c r="AA757"/>
    </row>
    <row r="758" spans="1:27" hidden="1" x14ac:dyDescent="0.2">
      <c r="A758" s="240"/>
      <c r="B758" s="318"/>
      <c r="C758" s="240"/>
      <c r="D758" s="241"/>
      <c r="E758" s="270"/>
      <c r="F758" s="271"/>
      <c r="G758" s="239"/>
      <c r="H758" s="239"/>
      <c r="I758" s="239"/>
      <c r="J758" s="239"/>
      <c r="K758" s="239"/>
      <c r="L758" s="239"/>
      <c r="M758" s="239"/>
      <c r="N758" s="239"/>
      <c r="O758" s="239"/>
      <c r="P758" s="239"/>
      <c r="Q758" s="239"/>
      <c r="R758" s="239"/>
      <c r="S758" s="239"/>
      <c r="T758" s="239"/>
      <c r="U758"/>
      <c r="V758"/>
      <c r="W758"/>
      <c r="X758"/>
      <c r="Y758"/>
      <c r="Z758"/>
      <c r="AA758"/>
    </row>
    <row r="759" spans="1:27" hidden="1" x14ac:dyDescent="0.2">
      <c r="A759" s="240"/>
      <c r="B759" s="318"/>
      <c r="C759" s="240"/>
      <c r="D759" s="241"/>
      <c r="E759" s="270"/>
      <c r="F759" s="271"/>
      <c r="G759" s="239"/>
      <c r="H759" s="239"/>
      <c r="I759" s="239"/>
      <c r="J759" s="239"/>
      <c r="K759" s="239"/>
      <c r="L759" s="239"/>
      <c r="M759" s="239"/>
      <c r="N759" s="239"/>
      <c r="O759" s="239"/>
      <c r="P759" s="239"/>
      <c r="Q759" s="239"/>
      <c r="R759" s="239"/>
      <c r="S759" s="239"/>
      <c r="T759" s="239"/>
      <c r="U759"/>
      <c r="V759"/>
      <c r="W759"/>
      <c r="X759"/>
      <c r="Y759"/>
      <c r="Z759"/>
      <c r="AA759"/>
    </row>
    <row r="760" spans="1:27" hidden="1" x14ac:dyDescent="0.2">
      <c r="A760" s="240"/>
      <c r="B760" s="318"/>
      <c r="C760" s="240"/>
      <c r="D760" s="241"/>
      <c r="E760" s="270"/>
      <c r="F760" s="271"/>
      <c r="G760" s="239"/>
      <c r="H760" s="239"/>
      <c r="I760" s="239"/>
      <c r="J760" s="239"/>
      <c r="K760" s="239"/>
      <c r="L760" s="239"/>
      <c r="M760" s="239"/>
      <c r="N760" s="239"/>
      <c r="O760" s="239"/>
      <c r="P760" s="239"/>
      <c r="Q760" s="239"/>
      <c r="R760" s="239"/>
      <c r="S760" s="239"/>
      <c r="T760" s="239"/>
      <c r="U760"/>
      <c r="V760"/>
      <c r="W760"/>
      <c r="X760"/>
      <c r="Y760"/>
      <c r="Z760"/>
      <c r="AA760"/>
    </row>
    <row r="761" spans="1:27" hidden="1" x14ac:dyDescent="0.2">
      <c r="A761" s="240"/>
      <c r="B761" s="318"/>
      <c r="C761" s="240"/>
      <c r="D761" s="241"/>
      <c r="E761" s="270"/>
      <c r="F761" s="271"/>
      <c r="G761" s="239"/>
      <c r="H761" s="239"/>
      <c r="I761" s="239"/>
      <c r="J761" s="239"/>
      <c r="K761" s="239"/>
      <c r="L761" s="239"/>
      <c r="M761" s="239"/>
      <c r="N761" s="239"/>
      <c r="O761" s="239"/>
      <c r="P761" s="239"/>
      <c r="Q761" s="239"/>
      <c r="R761" s="239"/>
      <c r="S761" s="239"/>
      <c r="T761" s="239"/>
      <c r="U761"/>
      <c r="V761"/>
      <c r="W761"/>
      <c r="X761"/>
      <c r="Y761"/>
      <c r="Z761"/>
      <c r="AA761"/>
    </row>
    <row r="762" spans="1:27" hidden="1" x14ac:dyDescent="0.2">
      <c r="A762" s="240"/>
      <c r="B762" s="318"/>
      <c r="C762" s="240"/>
      <c r="D762" s="241"/>
      <c r="E762" s="270"/>
      <c r="F762" s="271"/>
      <c r="G762" s="239"/>
      <c r="H762" s="239"/>
      <c r="I762" s="239"/>
      <c r="J762" s="239"/>
      <c r="K762" s="239"/>
      <c r="L762" s="239"/>
      <c r="M762" s="239"/>
      <c r="N762" s="239"/>
      <c r="O762" s="239"/>
      <c r="P762" s="239"/>
      <c r="Q762" s="239"/>
      <c r="R762" s="239"/>
      <c r="S762" s="239"/>
      <c r="T762" s="239"/>
      <c r="U762"/>
      <c r="V762"/>
      <c r="W762"/>
      <c r="X762"/>
      <c r="Y762"/>
      <c r="Z762"/>
      <c r="AA762"/>
    </row>
    <row r="763" spans="1:27" hidden="1" x14ac:dyDescent="0.2">
      <c r="A763" s="240"/>
      <c r="B763" s="318"/>
      <c r="C763" s="240"/>
      <c r="D763" s="241"/>
      <c r="E763" s="270"/>
      <c r="F763" s="271"/>
      <c r="G763" s="239"/>
      <c r="H763" s="239"/>
      <c r="I763" s="239"/>
      <c r="J763" s="239"/>
      <c r="K763" s="239"/>
      <c r="L763" s="239"/>
      <c r="M763" s="239"/>
      <c r="N763" s="239"/>
      <c r="O763" s="239"/>
      <c r="P763" s="239"/>
      <c r="Q763" s="239"/>
      <c r="R763" s="239"/>
      <c r="S763" s="239"/>
      <c r="T763" s="239"/>
      <c r="U763"/>
      <c r="V763"/>
      <c r="W763"/>
      <c r="X763"/>
      <c r="Y763"/>
      <c r="Z763"/>
      <c r="AA763"/>
    </row>
    <row r="764" spans="1:27" hidden="1" x14ac:dyDescent="0.2">
      <c r="A764" s="240"/>
      <c r="B764" s="318"/>
      <c r="C764" s="240"/>
      <c r="D764" s="241"/>
      <c r="E764" s="270"/>
      <c r="F764" s="271"/>
      <c r="G764" s="239"/>
      <c r="H764" s="239"/>
      <c r="I764" s="239"/>
      <c r="J764" s="239"/>
      <c r="K764" s="239"/>
      <c r="L764" s="239"/>
      <c r="M764" s="239"/>
      <c r="N764" s="239"/>
      <c r="O764" s="239"/>
      <c r="P764" s="239"/>
      <c r="Q764" s="239"/>
      <c r="R764" s="239"/>
      <c r="S764" s="239"/>
      <c r="T764" s="239"/>
      <c r="U764"/>
      <c r="V764"/>
      <c r="W764"/>
      <c r="X764"/>
      <c r="Y764"/>
      <c r="Z764"/>
      <c r="AA764"/>
    </row>
    <row r="765" spans="1:27" hidden="1" x14ac:dyDescent="0.2">
      <c r="A765" s="240"/>
      <c r="B765" s="318"/>
      <c r="C765" s="240"/>
      <c r="D765" s="241"/>
      <c r="E765" s="270"/>
      <c r="F765" s="271"/>
      <c r="G765" s="239"/>
      <c r="H765" s="239"/>
      <c r="I765" s="239"/>
      <c r="J765" s="239"/>
      <c r="K765" s="239"/>
      <c r="L765" s="239"/>
      <c r="M765" s="239"/>
      <c r="N765" s="239"/>
      <c r="O765" s="239"/>
      <c r="P765" s="239"/>
      <c r="Q765" s="239"/>
      <c r="R765" s="239"/>
      <c r="S765" s="239"/>
      <c r="T765" s="239"/>
      <c r="U765"/>
      <c r="V765"/>
      <c r="W765"/>
      <c r="X765"/>
      <c r="Y765"/>
      <c r="Z765"/>
      <c r="AA765"/>
    </row>
    <row r="766" spans="1:27" hidden="1" x14ac:dyDescent="0.2">
      <c r="A766" s="240"/>
      <c r="B766" s="318"/>
      <c r="C766" s="240"/>
      <c r="D766" s="241"/>
      <c r="E766" s="270"/>
      <c r="F766" s="271"/>
      <c r="G766" s="239"/>
      <c r="H766" s="239"/>
      <c r="I766" s="239"/>
      <c r="J766" s="239"/>
      <c r="K766" s="239"/>
      <c r="L766" s="239"/>
      <c r="M766" s="239"/>
      <c r="N766" s="239"/>
      <c r="O766" s="239"/>
      <c r="P766" s="239"/>
      <c r="Q766" s="239"/>
      <c r="R766" s="239"/>
      <c r="S766" s="239"/>
      <c r="T766" s="239"/>
      <c r="U766"/>
      <c r="V766"/>
      <c r="W766"/>
      <c r="X766"/>
      <c r="Y766"/>
      <c r="Z766"/>
      <c r="AA766"/>
    </row>
    <row r="767" spans="1:27" hidden="1" x14ac:dyDescent="0.2">
      <c r="A767" s="240"/>
      <c r="B767" s="318"/>
      <c r="C767" s="240"/>
      <c r="D767" s="241"/>
      <c r="E767" s="270"/>
      <c r="F767" s="271"/>
      <c r="G767" s="239"/>
      <c r="H767" s="239"/>
      <c r="I767" s="239"/>
      <c r="J767" s="239"/>
      <c r="K767" s="239"/>
      <c r="L767" s="239"/>
      <c r="M767" s="239"/>
      <c r="N767" s="239"/>
      <c r="O767" s="239"/>
      <c r="P767" s="239"/>
      <c r="Q767" s="239"/>
      <c r="R767" s="239"/>
      <c r="S767" s="239"/>
      <c r="T767" s="239"/>
      <c r="U767"/>
      <c r="V767"/>
      <c r="W767"/>
      <c r="X767"/>
      <c r="Y767"/>
      <c r="Z767"/>
      <c r="AA767"/>
    </row>
    <row r="768" spans="1:27" hidden="1" x14ac:dyDescent="0.2">
      <c r="A768" s="240"/>
      <c r="B768" s="318"/>
      <c r="C768" s="240"/>
      <c r="D768" s="241"/>
      <c r="E768" s="270"/>
      <c r="F768" s="271"/>
      <c r="G768" s="239"/>
      <c r="H768" s="239"/>
      <c r="I768" s="239"/>
      <c r="J768" s="239"/>
      <c r="K768" s="239"/>
      <c r="L768" s="239"/>
      <c r="M768" s="239"/>
      <c r="N768" s="239"/>
      <c r="O768" s="239"/>
      <c r="P768" s="239"/>
      <c r="Q768" s="239"/>
      <c r="R768" s="239"/>
      <c r="S768" s="239"/>
      <c r="T768" s="239"/>
      <c r="U768"/>
      <c r="V768"/>
      <c r="W768"/>
      <c r="X768"/>
      <c r="Y768"/>
      <c r="Z768"/>
      <c r="AA768"/>
    </row>
    <row r="769" spans="1:27" hidden="1" x14ac:dyDescent="0.2">
      <c r="A769" s="240"/>
      <c r="B769" s="318"/>
      <c r="C769" s="240"/>
      <c r="D769" s="241"/>
      <c r="E769" s="270"/>
      <c r="F769" s="271"/>
      <c r="G769" s="239"/>
      <c r="H769" s="239"/>
      <c r="I769" s="239"/>
      <c r="J769" s="239"/>
      <c r="K769" s="239"/>
      <c r="L769" s="239"/>
      <c r="M769" s="239"/>
      <c r="N769" s="239"/>
      <c r="O769" s="239"/>
      <c r="P769" s="239"/>
      <c r="Q769" s="239"/>
      <c r="R769" s="239"/>
      <c r="S769" s="239"/>
      <c r="T769" s="239"/>
      <c r="U769"/>
      <c r="V769"/>
      <c r="W769"/>
      <c r="X769"/>
      <c r="Y769"/>
      <c r="Z769"/>
      <c r="AA769"/>
    </row>
    <row r="770" spans="1:27" hidden="1" x14ac:dyDescent="0.2">
      <c r="A770" s="240"/>
      <c r="B770" s="318"/>
      <c r="C770" s="240"/>
      <c r="D770" s="241"/>
      <c r="E770" s="270"/>
      <c r="F770" s="271"/>
      <c r="G770" s="239"/>
      <c r="H770" s="239"/>
      <c r="I770" s="239"/>
      <c r="J770" s="239"/>
      <c r="K770" s="239"/>
      <c r="L770" s="239"/>
      <c r="M770" s="239"/>
      <c r="N770" s="239"/>
      <c r="O770" s="239"/>
      <c r="P770" s="239"/>
      <c r="Q770" s="239"/>
      <c r="R770" s="239"/>
      <c r="S770" s="239"/>
      <c r="T770" s="239"/>
      <c r="U770"/>
      <c r="V770"/>
      <c r="W770"/>
      <c r="X770"/>
      <c r="Y770"/>
      <c r="Z770"/>
      <c r="AA770"/>
    </row>
    <row r="771" spans="1:27" hidden="1" x14ac:dyDescent="0.2">
      <c r="A771" s="240"/>
      <c r="B771" s="318"/>
      <c r="C771" s="240"/>
      <c r="D771" s="241"/>
      <c r="E771" s="270"/>
      <c r="F771" s="271"/>
      <c r="G771" s="239"/>
      <c r="H771" s="239"/>
      <c r="I771" s="239"/>
      <c r="J771" s="239"/>
      <c r="K771" s="239"/>
      <c r="L771" s="239"/>
      <c r="M771" s="239"/>
      <c r="N771" s="239"/>
      <c r="O771" s="239"/>
      <c r="P771" s="239"/>
      <c r="Q771" s="239"/>
      <c r="R771" s="239"/>
      <c r="S771" s="239"/>
      <c r="T771" s="239"/>
      <c r="U771"/>
      <c r="V771"/>
      <c r="W771"/>
      <c r="X771"/>
      <c r="Y771"/>
      <c r="Z771"/>
      <c r="AA771"/>
    </row>
    <row r="772" spans="1:27" hidden="1" x14ac:dyDescent="0.2">
      <c r="A772" s="240"/>
      <c r="B772" s="318"/>
      <c r="C772" s="240"/>
      <c r="D772" s="241"/>
      <c r="E772" s="270"/>
      <c r="F772" s="271"/>
      <c r="G772" s="239"/>
      <c r="H772" s="239"/>
      <c r="I772" s="239"/>
      <c r="J772" s="239"/>
      <c r="K772" s="239"/>
      <c r="L772" s="239"/>
      <c r="M772" s="239"/>
      <c r="N772" s="239"/>
      <c r="O772" s="239"/>
      <c r="P772" s="239"/>
      <c r="Q772" s="239"/>
      <c r="R772" s="239"/>
      <c r="S772" s="239"/>
      <c r="T772" s="239"/>
      <c r="U772"/>
      <c r="V772"/>
      <c r="W772"/>
      <c r="X772"/>
      <c r="Y772"/>
      <c r="Z772"/>
      <c r="AA772"/>
    </row>
    <row r="773" spans="1:27" hidden="1" x14ac:dyDescent="0.2">
      <c r="A773" s="240"/>
      <c r="B773" s="318"/>
      <c r="C773" s="240"/>
      <c r="D773" s="241"/>
      <c r="E773" s="270"/>
      <c r="F773" s="271"/>
      <c r="G773" s="239"/>
      <c r="H773" s="239"/>
      <c r="I773" s="239"/>
      <c r="J773" s="239"/>
      <c r="K773" s="239"/>
      <c r="L773" s="239"/>
      <c r="M773" s="239"/>
      <c r="N773" s="239"/>
      <c r="O773" s="239"/>
      <c r="P773" s="239"/>
      <c r="Q773" s="239"/>
      <c r="R773" s="239"/>
      <c r="S773" s="239"/>
      <c r="T773" s="239"/>
      <c r="U773"/>
      <c r="V773"/>
      <c r="W773"/>
      <c r="X773"/>
      <c r="Y773"/>
      <c r="Z773"/>
      <c r="AA773"/>
    </row>
    <row r="774" spans="1:27" hidden="1" x14ac:dyDescent="0.2">
      <c r="A774" s="240"/>
      <c r="B774" s="318"/>
      <c r="C774" s="240"/>
      <c r="D774" s="241"/>
      <c r="E774" s="270"/>
      <c r="F774" s="271"/>
      <c r="G774" s="239"/>
      <c r="H774" s="239"/>
      <c r="I774" s="239"/>
      <c r="J774" s="239"/>
      <c r="K774" s="239"/>
      <c r="L774" s="239"/>
      <c r="M774" s="239"/>
      <c r="N774" s="239"/>
      <c r="O774" s="239"/>
      <c r="P774" s="239"/>
      <c r="Q774" s="239"/>
      <c r="R774" s="239"/>
      <c r="S774" s="239"/>
      <c r="T774" s="239"/>
      <c r="U774"/>
      <c r="V774"/>
      <c r="W774"/>
      <c r="X774"/>
      <c r="Y774"/>
      <c r="Z774"/>
      <c r="AA774"/>
    </row>
    <row r="775" spans="1:27" hidden="1" x14ac:dyDescent="0.2">
      <c r="A775" s="240"/>
      <c r="B775" s="318"/>
      <c r="C775" s="240"/>
      <c r="D775" s="241"/>
      <c r="E775" s="270"/>
      <c r="F775" s="271"/>
      <c r="G775" s="239"/>
      <c r="H775" s="239"/>
      <c r="I775" s="239"/>
      <c r="J775" s="239"/>
      <c r="K775" s="239"/>
      <c r="L775" s="239"/>
      <c r="M775" s="239"/>
      <c r="N775" s="239"/>
      <c r="O775" s="239"/>
      <c r="P775" s="239"/>
      <c r="Q775" s="239"/>
      <c r="R775" s="239"/>
      <c r="S775" s="239"/>
      <c r="T775" s="239"/>
      <c r="U775"/>
      <c r="V775"/>
      <c r="W775"/>
      <c r="X775"/>
      <c r="Y775"/>
      <c r="Z775"/>
      <c r="AA775"/>
    </row>
    <row r="776" spans="1:27" hidden="1" x14ac:dyDescent="0.2">
      <c r="A776" s="240"/>
      <c r="B776" s="318"/>
      <c r="C776" s="240"/>
      <c r="D776" s="241"/>
      <c r="E776" s="270"/>
      <c r="F776" s="271"/>
      <c r="G776" s="239"/>
      <c r="H776" s="239"/>
      <c r="I776" s="239"/>
      <c r="J776" s="239"/>
      <c r="K776" s="239"/>
      <c r="L776" s="239"/>
      <c r="M776" s="239"/>
      <c r="N776" s="239"/>
      <c r="O776" s="239"/>
      <c r="P776" s="239"/>
      <c r="Q776" s="239"/>
      <c r="R776" s="239"/>
      <c r="S776" s="239"/>
      <c r="T776" s="239"/>
      <c r="U776"/>
      <c r="V776"/>
      <c r="W776"/>
      <c r="X776"/>
      <c r="Y776"/>
      <c r="Z776"/>
      <c r="AA776"/>
    </row>
    <row r="777" spans="1:27" hidden="1" x14ac:dyDescent="0.2">
      <c r="A777" s="240"/>
      <c r="B777" s="318"/>
      <c r="C777" s="240"/>
      <c r="D777" s="241"/>
      <c r="E777" s="270"/>
      <c r="F777" s="271"/>
      <c r="G777" s="239"/>
      <c r="H777" s="239"/>
      <c r="I777" s="239"/>
      <c r="J777" s="239"/>
      <c r="K777" s="239"/>
      <c r="L777" s="239"/>
      <c r="M777" s="239"/>
      <c r="N777" s="239"/>
      <c r="O777" s="239"/>
      <c r="P777" s="239"/>
      <c r="Q777" s="239"/>
      <c r="R777" s="239"/>
      <c r="S777" s="239"/>
      <c r="T777" s="239"/>
      <c r="U777"/>
      <c r="V777"/>
      <c r="W777"/>
      <c r="X777"/>
      <c r="Y777"/>
      <c r="Z777"/>
      <c r="AA777"/>
    </row>
    <row r="778" spans="1:27" hidden="1" x14ac:dyDescent="0.2">
      <c r="A778" s="240"/>
      <c r="B778" s="318"/>
      <c r="C778" s="240"/>
      <c r="D778" s="241"/>
      <c r="E778" s="270"/>
      <c r="F778" s="271"/>
      <c r="G778" s="239"/>
      <c r="H778" s="239"/>
      <c r="I778" s="239"/>
      <c r="J778" s="239"/>
      <c r="K778" s="239"/>
      <c r="L778" s="239"/>
      <c r="M778" s="239"/>
      <c r="N778" s="239"/>
      <c r="O778" s="239"/>
      <c r="P778" s="239"/>
      <c r="Q778" s="239"/>
      <c r="R778" s="239"/>
      <c r="S778" s="239"/>
      <c r="T778" s="239"/>
      <c r="U778"/>
      <c r="V778"/>
      <c r="W778"/>
      <c r="X778"/>
      <c r="Y778"/>
      <c r="Z778"/>
      <c r="AA778"/>
    </row>
    <row r="779" spans="1:27" hidden="1" x14ac:dyDescent="0.2">
      <c r="A779" s="240"/>
      <c r="B779" s="318"/>
      <c r="C779" s="240"/>
      <c r="D779" s="241"/>
      <c r="E779" s="270"/>
      <c r="F779" s="271"/>
      <c r="G779" s="239"/>
      <c r="H779" s="239"/>
      <c r="I779" s="239"/>
      <c r="J779" s="239"/>
      <c r="K779" s="239"/>
      <c r="L779" s="239"/>
      <c r="M779" s="239"/>
      <c r="N779" s="239"/>
      <c r="O779" s="239"/>
      <c r="P779" s="239"/>
      <c r="Q779" s="239"/>
      <c r="R779" s="239"/>
      <c r="S779" s="239"/>
      <c r="T779" s="239"/>
      <c r="U779"/>
      <c r="V779"/>
      <c r="W779"/>
      <c r="X779"/>
      <c r="Y779"/>
      <c r="Z779"/>
      <c r="AA779"/>
    </row>
    <row r="780" spans="1:27" hidden="1" x14ac:dyDescent="0.2">
      <c r="A780" s="240"/>
      <c r="B780" s="318"/>
      <c r="C780" s="240"/>
      <c r="D780" s="241"/>
      <c r="E780" s="270"/>
      <c r="F780" s="271"/>
      <c r="G780" s="239"/>
      <c r="H780" s="239"/>
      <c r="I780" s="239"/>
      <c r="J780" s="239"/>
      <c r="K780" s="239"/>
      <c r="L780" s="239"/>
      <c r="M780" s="239"/>
      <c r="N780" s="239"/>
      <c r="O780" s="239"/>
      <c r="P780" s="239"/>
      <c r="Q780" s="239"/>
      <c r="R780" s="239"/>
      <c r="S780" s="239"/>
      <c r="T780" s="239"/>
      <c r="U780"/>
      <c r="V780"/>
      <c r="W780"/>
      <c r="X780"/>
      <c r="Y780"/>
      <c r="Z780"/>
      <c r="AA780"/>
    </row>
    <row r="781" spans="1:27" hidden="1" x14ac:dyDescent="0.2">
      <c r="A781" s="240"/>
      <c r="B781" s="318"/>
      <c r="C781" s="240"/>
      <c r="D781" s="241"/>
      <c r="E781" s="270"/>
      <c r="F781" s="271"/>
      <c r="G781" s="239"/>
      <c r="H781" s="239"/>
      <c r="I781" s="239"/>
      <c r="J781" s="239"/>
      <c r="K781" s="239"/>
      <c r="L781" s="239"/>
      <c r="M781" s="239"/>
      <c r="N781" s="239"/>
      <c r="O781" s="239"/>
      <c r="P781" s="239"/>
      <c r="Q781" s="239"/>
      <c r="R781" s="239"/>
      <c r="S781" s="239"/>
      <c r="T781" s="239"/>
      <c r="U781"/>
      <c r="V781"/>
      <c r="W781"/>
      <c r="X781"/>
      <c r="Y781"/>
      <c r="Z781"/>
      <c r="AA781"/>
    </row>
    <row r="782" spans="1:27" hidden="1" x14ac:dyDescent="0.2">
      <c r="A782" s="240"/>
      <c r="B782" s="318"/>
      <c r="C782" s="240"/>
      <c r="D782" s="241"/>
      <c r="E782" s="270"/>
      <c r="F782" s="271"/>
      <c r="G782" s="239"/>
      <c r="H782" s="239"/>
      <c r="I782" s="239"/>
      <c r="J782" s="239"/>
      <c r="K782" s="239"/>
      <c r="L782" s="239"/>
      <c r="M782" s="239"/>
      <c r="N782" s="239"/>
      <c r="O782" s="239"/>
      <c r="P782" s="239"/>
      <c r="Q782" s="239"/>
      <c r="R782" s="239"/>
      <c r="S782" s="239"/>
      <c r="T782" s="239"/>
      <c r="U782"/>
      <c r="V782"/>
      <c r="W782"/>
      <c r="X782"/>
      <c r="Y782"/>
      <c r="Z782"/>
      <c r="AA782"/>
    </row>
    <row r="783" spans="1:27" hidden="1" x14ac:dyDescent="0.2">
      <c r="A783" s="240"/>
      <c r="B783" s="318"/>
      <c r="C783" s="240"/>
      <c r="D783" s="241"/>
      <c r="E783" s="270"/>
      <c r="F783" s="271"/>
      <c r="G783" s="239"/>
      <c r="H783" s="239"/>
      <c r="I783" s="239"/>
      <c r="J783" s="239"/>
      <c r="K783" s="239"/>
      <c r="L783" s="239"/>
      <c r="M783" s="239"/>
      <c r="N783" s="239"/>
      <c r="O783" s="239"/>
      <c r="P783" s="239"/>
      <c r="Q783" s="239"/>
      <c r="R783" s="239"/>
      <c r="S783" s="239"/>
      <c r="T783" s="239"/>
      <c r="U783"/>
      <c r="V783"/>
      <c r="W783"/>
      <c r="X783"/>
      <c r="Y783"/>
      <c r="Z783"/>
      <c r="AA783"/>
    </row>
    <row r="784" spans="1:27" hidden="1" x14ac:dyDescent="0.2">
      <c r="A784" s="240"/>
      <c r="B784" s="318"/>
      <c r="C784" s="240"/>
      <c r="D784" s="241"/>
      <c r="E784" s="270"/>
      <c r="F784" s="271"/>
      <c r="G784" s="239"/>
      <c r="H784" s="239"/>
      <c r="I784" s="239"/>
      <c r="J784" s="239"/>
      <c r="K784" s="239"/>
      <c r="L784" s="239"/>
      <c r="M784" s="239"/>
      <c r="N784" s="239"/>
      <c r="O784" s="239"/>
      <c r="P784" s="239"/>
      <c r="Q784" s="239"/>
      <c r="R784" s="239"/>
      <c r="S784" s="239"/>
      <c r="T784" s="239"/>
      <c r="U784"/>
      <c r="V784"/>
      <c r="W784"/>
      <c r="X784"/>
      <c r="Y784"/>
      <c r="Z784"/>
      <c r="AA784"/>
    </row>
    <row r="785" spans="1:27" hidden="1" x14ac:dyDescent="0.2">
      <c r="A785" s="240"/>
      <c r="B785" s="318"/>
      <c r="C785" s="240"/>
      <c r="D785" s="241"/>
      <c r="E785" s="270"/>
      <c r="F785" s="271"/>
      <c r="G785" s="239"/>
      <c r="H785" s="239"/>
      <c r="I785" s="239"/>
      <c r="J785" s="239"/>
      <c r="K785" s="239"/>
      <c r="L785" s="239"/>
      <c r="M785" s="239"/>
      <c r="N785" s="239"/>
      <c r="O785" s="239"/>
      <c r="P785" s="239"/>
      <c r="Q785" s="239"/>
      <c r="R785" s="239"/>
      <c r="S785" s="239"/>
      <c r="T785" s="239"/>
      <c r="U785"/>
      <c r="V785"/>
      <c r="W785"/>
      <c r="X785"/>
      <c r="Y785"/>
      <c r="Z785"/>
      <c r="AA785"/>
    </row>
    <row r="786" spans="1:27" hidden="1" x14ac:dyDescent="0.2">
      <c r="A786" s="240"/>
      <c r="B786" s="318"/>
      <c r="C786" s="240"/>
      <c r="D786" s="241"/>
      <c r="E786" s="270"/>
      <c r="F786" s="271"/>
      <c r="G786" s="239"/>
      <c r="H786" s="239"/>
      <c r="I786" s="239"/>
      <c r="J786" s="239"/>
      <c r="K786" s="239"/>
      <c r="L786" s="239"/>
      <c r="M786" s="239"/>
      <c r="N786" s="239"/>
      <c r="O786" s="239"/>
      <c r="P786" s="239"/>
      <c r="Q786" s="239"/>
      <c r="R786" s="239"/>
      <c r="S786" s="239"/>
      <c r="T786" s="239"/>
      <c r="U786"/>
      <c r="V786"/>
      <c r="W786"/>
      <c r="X786"/>
      <c r="Y786"/>
      <c r="Z786"/>
      <c r="AA786"/>
    </row>
    <row r="787" spans="1:27" hidden="1" x14ac:dyDescent="0.2">
      <c r="A787" s="240"/>
      <c r="B787" s="318"/>
      <c r="C787" s="240"/>
      <c r="D787" s="241"/>
      <c r="E787" s="270"/>
      <c r="F787" s="271"/>
      <c r="G787" s="239"/>
      <c r="H787" s="239"/>
      <c r="I787" s="239"/>
      <c r="J787" s="239"/>
      <c r="K787" s="239"/>
      <c r="L787" s="239"/>
      <c r="M787" s="239"/>
      <c r="N787" s="239"/>
      <c r="O787" s="239"/>
      <c r="P787" s="239"/>
      <c r="Q787" s="239"/>
      <c r="R787" s="239"/>
      <c r="S787" s="239"/>
      <c r="T787" s="239"/>
      <c r="U787"/>
      <c r="V787"/>
      <c r="W787"/>
      <c r="X787"/>
      <c r="Y787"/>
      <c r="Z787"/>
      <c r="AA787"/>
    </row>
    <row r="788" spans="1:27" hidden="1" x14ac:dyDescent="0.2">
      <c r="A788" s="240"/>
      <c r="B788" s="318"/>
      <c r="C788" s="240"/>
      <c r="D788" s="241"/>
      <c r="E788" s="270"/>
      <c r="F788" s="271"/>
      <c r="G788" s="239"/>
      <c r="H788" s="239"/>
      <c r="I788" s="239"/>
      <c r="J788" s="239"/>
      <c r="K788" s="239"/>
      <c r="L788" s="239"/>
      <c r="M788" s="239"/>
      <c r="N788" s="239"/>
      <c r="O788" s="239"/>
      <c r="P788" s="239"/>
      <c r="Q788" s="239"/>
      <c r="R788" s="239"/>
      <c r="S788" s="239"/>
      <c r="T788" s="239"/>
      <c r="U788"/>
      <c r="V788"/>
      <c r="W788"/>
      <c r="X788"/>
      <c r="Y788"/>
      <c r="Z788"/>
      <c r="AA788"/>
    </row>
    <row r="789" spans="1:27" hidden="1" x14ac:dyDescent="0.2">
      <c r="A789" s="240"/>
      <c r="B789" s="318"/>
      <c r="C789" s="240"/>
      <c r="D789" s="241"/>
      <c r="E789" s="270"/>
      <c r="F789" s="271"/>
      <c r="G789" s="239"/>
      <c r="H789" s="239"/>
      <c r="I789" s="239"/>
      <c r="J789" s="239"/>
      <c r="K789" s="239"/>
      <c r="L789" s="239"/>
      <c r="M789" s="239"/>
      <c r="N789" s="239"/>
      <c r="O789" s="239"/>
      <c r="P789" s="239"/>
      <c r="Q789" s="239"/>
      <c r="R789" s="239"/>
      <c r="S789" s="239"/>
      <c r="T789" s="239"/>
      <c r="U789"/>
      <c r="V789"/>
      <c r="W789"/>
      <c r="X789"/>
      <c r="Y789"/>
      <c r="Z789"/>
      <c r="AA789"/>
    </row>
    <row r="790" spans="1:27" hidden="1" x14ac:dyDescent="0.2">
      <c r="A790" s="240"/>
      <c r="B790" s="318"/>
      <c r="C790" s="240"/>
      <c r="D790" s="241"/>
      <c r="E790" s="270"/>
      <c r="F790" s="271"/>
      <c r="G790" s="239"/>
      <c r="H790" s="239"/>
      <c r="I790" s="239"/>
      <c r="J790" s="239"/>
      <c r="K790" s="239"/>
      <c r="L790" s="239"/>
      <c r="M790" s="239"/>
      <c r="N790" s="239"/>
      <c r="O790" s="239"/>
      <c r="P790" s="239"/>
      <c r="Q790" s="239"/>
      <c r="R790" s="239"/>
      <c r="S790" s="239"/>
      <c r="T790" s="239"/>
      <c r="U790"/>
      <c r="V790"/>
      <c r="W790"/>
      <c r="X790"/>
      <c r="Y790"/>
      <c r="Z790"/>
      <c r="AA790"/>
    </row>
    <row r="791" spans="1:27" hidden="1" x14ac:dyDescent="0.2">
      <c r="A791" s="240"/>
      <c r="B791" s="318"/>
      <c r="C791" s="240"/>
      <c r="D791" s="241"/>
      <c r="E791" s="270"/>
      <c r="F791" s="271"/>
      <c r="G791" s="239"/>
      <c r="H791" s="239"/>
      <c r="I791" s="239"/>
      <c r="J791" s="239"/>
      <c r="K791" s="239"/>
      <c r="L791" s="239"/>
      <c r="M791" s="239"/>
      <c r="N791" s="239"/>
      <c r="O791" s="239"/>
      <c r="P791" s="239"/>
      <c r="Q791" s="239"/>
      <c r="R791" s="239"/>
      <c r="S791" s="239"/>
      <c r="T791" s="239"/>
      <c r="U791"/>
      <c r="V791"/>
      <c r="W791"/>
      <c r="X791"/>
      <c r="Y791"/>
      <c r="Z791"/>
      <c r="AA791"/>
    </row>
    <row r="792" spans="1:27" hidden="1" x14ac:dyDescent="0.2">
      <c r="A792" s="240"/>
      <c r="B792" s="318"/>
      <c r="C792" s="240"/>
      <c r="D792" s="241"/>
      <c r="E792" s="270"/>
      <c r="F792" s="271"/>
      <c r="G792" s="239"/>
      <c r="H792" s="239"/>
      <c r="I792" s="239"/>
      <c r="J792" s="239"/>
      <c r="K792" s="239"/>
      <c r="L792" s="239"/>
      <c r="M792" s="239"/>
      <c r="N792" s="239"/>
      <c r="O792" s="239"/>
      <c r="P792" s="239"/>
      <c r="Q792" s="239"/>
      <c r="R792" s="239"/>
      <c r="S792" s="239"/>
      <c r="T792" s="239"/>
      <c r="U792"/>
      <c r="V792"/>
      <c r="W792"/>
      <c r="X792"/>
      <c r="Y792"/>
      <c r="Z792"/>
      <c r="AA792"/>
    </row>
    <row r="793" spans="1:27" hidden="1" x14ac:dyDescent="0.2">
      <c r="A793" s="240"/>
      <c r="B793" s="318"/>
      <c r="C793" s="240"/>
      <c r="D793" s="241"/>
      <c r="E793" s="270"/>
      <c r="F793" s="271"/>
      <c r="G793" s="239"/>
      <c r="H793" s="239"/>
      <c r="I793" s="239"/>
      <c r="J793" s="239"/>
      <c r="K793" s="239"/>
      <c r="L793" s="239"/>
      <c r="M793" s="239"/>
      <c r="N793" s="239"/>
      <c r="O793" s="239"/>
      <c r="P793" s="239"/>
      <c r="Q793" s="239"/>
      <c r="R793" s="239"/>
      <c r="S793" s="239"/>
      <c r="T793" s="239"/>
      <c r="U793"/>
      <c r="V793"/>
      <c r="W793"/>
      <c r="X793"/>
      <c r="Y793"/>
      <c r="Z793"/>
      <c r="AA793"/>
    </row>
    <row r="794" spans="1:27" hidden="1" x14ac:dyDescent="0.2">
      <c r="A794" s="240"/>
      <c r="B794" s="318"/>
      <c r="C794" s="240"/>
      <c r="D794" s="241"/>
      <c r="E794" s="270"/>
      <c r="F794" s="271"/>
      <c r="G794" s="239"/>
      <c r="H794" s="239"/>
      <c r="I794" s="239"/>
      <c r="J794" s="239"/>
      <c r="K794" s="239"/>
      <c r="L794" s="239"/>
      <c r="M794" s="239"/>
      <c r="N794" s="239"/>
      <c r="O794" s="239"/>
      <c r="P794" s="239"/>
      <c r="Q794" s="239"/>
      <c r="R794" s="239"/>
      <c r="S794" s="239"/>
      <c r="T794" s="239"/>
      <c r="U794"/>
      <c r="V794"/>
      <c r="W794"/>
      <c r="X794"/>
      <c r="Y794"/>
      <c r="Z794"/>
      <c r="AA794"/>
    </row>
    <row r="795" spans="1:27" hidden="1" x14ac:dyDescent="0.2">
      <c r="A795" s="240"/>
      <c r="B795" s="318"/>
      <c r="C795" s="240"/>
      <c r="D795" s="241"/>
      <c r="E795" s="270"/>
      <c r="F795" s="271"/>
      <c r="G795" s="239"/>
      <c r="H795" s="239"/>
      <c r="I795" s="239"/>
      <c r="J795" s="239"/>
      <c r="K795" s="239"/>
      <c r="L795" s="239"/>
      <c r="M795" s="239"/>
      <c r="N795" s="239"/>
      <c r="O795" s="239"/>
      <c r="P795" s="239"/>
      <c r="Q795" s="239"/>
      <c r="R795" s="239"/>
      <c r="S795" s="239"/>
      <c r="T795" s="239"/>
      <c r="U795"/>
      <c r="V795"/>
      <c r="W795"/>
      <c r="X795"/>
      <c r="Y795"/>
      <c r="Z795"/>
      <c r="AA795"/>
    </row>
    <row r="796" spans="1:27" hidden="1" x14ac:dyDescent="0.2">
      <c r="A796" s="240"/>
      <c r="B796" s="318"/>
      <c r="C796" s="240"/>
      <c r="D796" s="241"/>
      <c r="E796" s="270"/>
      <c r="F796" s="271"/>
      <c r="G796" s="239"/>
      <c r="H796" s="239"/>
      <c r="I796" s="239"/>
      <c r="J796" s="239"/>
      <c r="K796" s="239"/>
      <c r="L796" s="239"/>
      <c r="M796" s="239"/>
      <c r="N796" s="239"/>
      <c r="O796" s="239"/>
      <c r="P796" s="239"/>
      <c r="Q796" s="239"/>
      <c r="R796" s="239"/>
      <c r="S796" s="239"/>
      <c r="T796" s="239"/>
      <c r="U796"/>
      <c r="V796"/>
      <c r="W796"/>
      <c r="X796"/>
      <c r="Y796"/>
      <c r="Z796"/>
      <c r="AA796"/>
    </row>
    <row r="797" spans="1:27" hidden="1" x14ac:dyDescent="0.2">
      <c r="A797" s="240"/>
      <c r="B797" s="318"/>
      <c r="C797" s="240"/>
      <c r="D797" s="241"/>
      <c r="E797" s="270"/>
      <c r="F797" s="271"/>
      <c r="G797" s="239"/>
      <c r="H797" s="239"/>
      <c r="I797" s="239"/>
      <c r="J797" s="239"/>
      <c r="K797" s="239"/>
      <c r="L797" s="239"/>
      <c r="M797" s="239"/>
      <c r="N797" s="239"/>
      <c r="O797" s="239"/>
      <c r="P797" s="239"/>
      <c r="Q797" s="239"/>
      <c r="R797" s="239"/>
      <c r="S797" s="239"/>
      <c r="T797" s="239"/>
      <c r="U797"/>
      <c r="V797"/>
      <c r="W797"/>
      <c r="X797"/>
      <c r="Y797"/>
      <c r="Z797"/>
      <c r="AA797"/>
    </row>
    <row r="798" spans="1:27" hidden="1" x14ac:dyDescent="0.2">
      <c r="A798" s="240"/>
      <c r="B798" s="318"/>
      <c r="C798" s="240"/>
      <c r="D798" s="241"/>
      <c r="E798" s="270"/>
      <c r="F798" s="271"/>
      <c r="G798" s="239"/>
      <c r="H798" s="239"/>
      <c r="I798" s="239"/>
      <c r="J798" s="239"/>
      <c r="K798" s="239"/>
      <c r="L798" s="239"/>
      <c r="M798" s="239"/>
      <c r="N798" s="239"/>
      <c r="O798" s="239"/>
      <c r="P798" s="239"/>
      <c r="Q798" s="239"/>
      <c r="R798" s="239"/>
      <c r="S798" s="239"/>
      <c r="T798" s="239"/>
      <c r="U798"/>
      <c r="V798"/>
      <c r="W798"/>
      <c r="X798"/>
      <c r="Y798"/>
      <c r="Z798"/>
      <c r="AA798"/>
    </row>
    <row r="799" spans="1:27" hidden="1" x14ac:dyDescent="0.2">
      <c r="A799" s="240"/>
      <c r="B799" s="318"/>
      <c r="C799" s="240"/>
      <c r="D799" s="241"/>
      <c r="E799" s="270"/>
      <c r="F799" s="271"/>
      <c r="G799" s="239"/>
      <c r="H799" s="239"/>
      <c r="I799" s="239"/>
      <c r="J799" s="239"/>
      <c r="K799" s="239"/>
      <c r="L799" s="239"/>
      <c r="M799" s="239"/>
      <c r="N799" s="239"/>
      <c r="O799" s="239"/>
      <c r="P799" s="239"/>
      <c r="Q799" s="239"/>
      <c r="R799" s="239"/>
      <c r="S799" s="239"/>
      <c r="T799" s="239"/>
      <c r="U799"/>
      <c r="V799"/>
      <c r="W799"/>
      <c r="X799"/>
      <c r="Y799"/>
      <c r="Z799"/>
      <c r="AA799"/>
    </row>
    <row r="800" spans="1:27" hidden="1" x14ac:dyDescent="0.2">
      <c r="A800" s="240"/>
      <c r="B800" s="318"/>
      <c r="C800" s="240"/>
      <c r="D800" s="241"/>
      <c r="E800" s="270"/>
      <c r="F800" s="271"/>
      <c r="G800" s="239"/>
      <c r="H800" s="239"/>
      <c r="I800" s="239"/>
      <c r="J800" s="239"/>
      <c r="K800" s="239"/>
      <c r="L800" s="239"/>
      <c r="M800" s="239"/>
      <c r="N800" s="239"/>
      <c r="O800" s="239"/>
      <c r="P800" s="239"/>
      <c r="Q800" s="239"/>
      <c r="R800" s="239"/>
      <c r="S800" s="239"/>
      <c r="T800" s="239"/>
      <c r="U800"/>
      <c r="V800"/>
      <c r="W800"/>
      <c r="X800"/>
      <c r="Y800"/>
      <c r="Z800"/>
      <c r="AA800"/>
    </row>
    <row r="801" spans="1:27" hidden="1" x14ac:dyDescent="0.2">
      <c r="A801" s="240"/>
      <c r="B801" s="318"/>
      <c r="C801" s="240"/>
      <c r="D801" s="241"/>
      <c r="E801" s="270"/>
      <c r="F801" s="271"/>
      <c r="G801" s="239"/>
      <c r="H801" s="239"/>
      <c r="I801" s="239"/>
      <c r="J801" s="239"/>
      <c r="K801" s="239"/>
      <c r="L801" s="239"/>
      <c r="M801" s="239"/>
      <c r="N801" s="239"/>
      <c r="O801" s="239"/>
      <c r="P801" s="239"/>
      <c r="Q801" s="239"/>
      <c r="R801" s="239"/>
      <c r="S801" s="239"/>
      <c r="T801" s="239"/>
      <c r="U801"/>
      <c r="V801"/>
      <c r="W801"/>
      <c r="X801"/>
      <c r="Y801"/>
      <c r="Z801"/>
      <c r="AA801"/>
    </row>
    <row r="802" spans="1:27" hidden="1" x14ac:dyDescent="0.2">
      <c r="A802" s="240"/>
      <c r="B802" s="318"/>
      <c r="C802" s="240"/>
      <c r="D802" s="241"/>
      <c r="E802" s="270"/>
      <c r="F802" s="271"/>
      <c r="G802" s="239"/>
      <c r="H802" s="239"/>
      <c r="I802" s="239"/>
      <c r="J802" s="239"/>
      <c r="K802" s="239"/>
      <c r="L802" s="239"/>
      <c r="M802" s="239"/>
      <c r="N802" s="239"/>
      <c r="O802" s="239"/>
      <c r="P802" s="239"/>
      <c r="Q802" s="239"/>
      <c r="R802" s="239"/>
      <c r="S802" s="239"/>
      <c r="T802" s="239"/>
      <c r="U802"/>
      <c r="V802"/>
      <c r="W802"/>
      <c r="X802"/>
      <c r="Y802"/>
      <c r="Z802"/>
      <c r="AA802"/>
    </row>
    <row r="803" spans="1:27" hidden="1" x14ac:dyDescent="0.2">
      <c r="A803" s="240"/>
      <c r="B803" s="318"/>
      <c r="C803" s="240"/>
      <c r="D803" s="241"/>
      <c r="E803" s="270"/>
      <c r="F803" s="271"/>
      <c r="G803" s="239"/>
      <c r="H803" s="239"/>
      <c r="I803" s="239"/>
      <c r="J803" s="239"/>
      <c r="K803" s="239"/>
      <c r="L803" s="239"/>
      <c r="M803" s="239"/>
      <c r="N803" s="239"/>
      <c r="O803" s="239"/>
      <c r="P803" s="239"/>
      <c r="Q803" s="239"/>
      <c r="R803" s="239"/>
      <c r="S803" s="239"/>
      <c r="T803" s="239"/>
      <c r="U803"/>
      <c r="V803"/>
      <c r="W803"/>
      <c r="X803"/>
      <c r="Y803"/>
      <c r="Z803"/>
      <c r="AA803"/>
    </row>
    <row r="804" spans="1:27" hidden="1" x14ac:dyDescent="0.2">
      <c r="A804" s="240"/>
      <c r="B804" s="318"/>
      <c r="C804" s="240"/>
      <c r="D804" s="241"/>
      <c r="E804" s="270"/>
      <c r="F804" s="271"/>
      <c r="G804" s="239"/>
      <c r="H804" s="239"/>
      <c r="I804" s="239"/>
      <c r="J804" s="239"/>
      <c r="K804" s="239"/>
      <c r="L804" s="239"/>
      <c r="M804" s="239"/>
      <c r="N804" s="239"/>
      <c r="O804" s="239"/>
      <c r="P804" s="239"/>
      <c r="Q804" s="239"/>
      <c r="R804" s="239"/>
      <c r="S804" s="239"/>
      <c r="T804" s="239"/>
      <c r="U804"/>
      <c r="V804"/>
      <c r="W804"/>
      <c r="X804"/>
      <c r="Y804"/>
      <c r="Z804"/>
      <c r="AA804"/>
    </row>
    <row r="805" spans="1:27" hidden="1" x14ac:dyDescent="0.2">
      <c r="A805" s="240"/>
      <c r="B805" s="318"/>
      <c r="C805" s="240"/>
      <c r="D805" s="241"/>
      <c r="E805" s="270"/>
      <c r="F805" s="271"/>
      <c r="G805" s="239"/>
      <c r="H805" s="239"/>
      <c r="I805" s="239"/>
      <c r="J805" s="239"/>
      <c r="K805" s="239"/>
      <c r="L805" s="239"/>
      <c r="M805" s="239"/>
      <c r="N805" s="239"/>
      <c r="O805" s="239"/>
      <c r="P805" s="239"/>
      <c r="Q805" s="239"/>
      <c r="R805" s="239"/>
      <c r="S805" s="239"/>
      <c r="T805" s="239"/>
      <c r="U805"/>
      <c r="V805"/>
      <c r="W805"/>
      <c r="X805"/>
      <c r="Y805"/>
      <c r="Z805"/>
      <c r="AA805"/>
    </row>
    <row r="806" spans="1:27" hidden="1" x14ac:dyDescent="0.2">
      <c r="A806" s="240"/>
      <c r="B806" s="318"/>
      <c r="C806" s="240"/>
      <c r="D806" s="241"/>
      <c r="E806" s="270"/>
      <c r="F806" s="271"/>
      <c r="G806" s="239"/>
      <c r="H806" s="239"/>
      <c r="I806" s="239"/>
      <c r="J806" s="239"/>
      <c r="K806" s="239"/>
      <c r="L806" s="239"/>
      <c r="M806" s="239"/>
      <c r="N806" s="239"/>
      <c r="O806" s="239"/>
      <c r="P806" s="239"/>
      <c r="Q806" s="239"/>
      <c r="R806" s="239"/>
      <c r="S806" s="239"/>
      <c r="T806" s="239"/>
      <c r="U806"/>
      <c r="V806"/>
      <c r="W806"/>
      <c r="X806"/>
      <c r="Y806"/>
      <c r="Z806"/>
      <c r="AA806"/>
    </row>
    <row r="807" spans="1:27" hidden="1" x14ac:dyDescent="0.2">
      <c r="A807" s="240"/>
      <c r="B807" s="318"/>
      <c r="C807" s="240"/>
      <c r="D807" s="241"/>
      <c r="E807" s="270"/>
      <c r="F807" s="271"/>
      <c r="G807" s="239"/>
      <c r="H807" s="239"/>
      <c r="I807" s="239"/>
      <c r="J807" s="239"/>
      <c r="K807" s="239"/>
      <c r="L807" s="239"/>
      <c r="M807" s="239"/>
      <c r="N807" s="239"/>
      <c r="O807" s="239"/>
      <c r="P807" s="239"/>
      <c r="Q807" s="239"/>
      <c r="R807" s="239"/>
      <c r="S807" s="239"/>
      <c r="T807" s="239"/>
      <c r="U807"/>
      <c r="V807"/>
      <c r="W807"/>
      <c r="X807"/>
      <c r="Y807"/>
      <c r="Z807"/>
      <c r="AA807"/>
    </row>
    <row r="808" spans="1:27" hidden="1" x14ac:dyDescent="0.2">
      <c r="A808" s="240"/>
      <c r="B808" s="318"/>
      <c r="C808" s="240"/>
      <c r="D808" s="241"/>
      <c r="E808" s="270"/>
      <c r="F808" s="271"/>
      <c r="G808" s="239"/>
      <c r="H808" s="239"/>
      <c r="I808" s="239"/>
      <c r="J808" s="239"/>
      <c r="K808" s="239"/>
      <c r="L808" s="239"/>
      <c r="M808" s="239"/>
      <c r="N808" s="239"/>
      <c r="O808" s="239"/>
      <c r="P808" s="239"/>
      <c r="Q808" s="239"/>
      <c r="R808" s="239"/>
      <c r="S808" s="239"/>
      <c r="T808" s="239"/>
      <c r="U808"/>
      <c r="V808"/>
      <c r="W808"/>
      <c r="X808"/>
      <c r="Y808"/>
      <c r="Z808"/>
      <c r="AA808"/>
    </row>
    <row r="809" spans="1:27" hidden="1" x14ac:dyDescent="0.2">
      <c r="A809" s="240"/>
      <c r="B809" s="318"/>
      <c r="C809" s="240"/>
      <c r="D809" s="241"/>
      <c r="E809" s="270"/>
      <c r="F809" s="271"/>
      <c r="G809" s="239"/>
      <c r="H809" s="239"/>
      <c r="I809" s="239"/>
      <c r="J809" s="239"/>
      <c r="K809" s="239"/>
      <c r="L809" s="239"/>
      <c r="M809" s="239"/>
      <c r="N809" s="239"/>
      <c r="O809" s="239"/>
      <c r="P809" s="239"/>
      <c r="Q809" s="239"/>
      <c r="R809" s="239"/>
      <c r="S809" s="239"/>
      <c r="T809" s="239"/>
      <c r="U809"/>
      <c r="V809"/>
      <c r="W809"/>
      <c r="X809"/>
      <c r="Y809"/>
      <c r="Z809"/>
      <c r="AA809"/>
    </row>
    <row r="810" spans="1:27" hidden="1" x14ac:dyDescent="0.2">
      <c r="A810" s="240"/>
      <c r="B810" s="318"/>
      <c r="C810" s="240"/>
      <c r="D810" s="241"/>
      <c r="E810" s="270"/>
      <c r="F810" s="271"/>
      <c r="G810" s="239"/>
      <c r="H810" s="239"/>
      <c r="I810" s="239"/>
      <c r="J810" s="239"/>
      <c r="K810" s="239"/>
      <c r="L810" s="239"/>
      <c r="M810" s="239"/>
      <c r="N810" s="239"/>
      <c r="O810" s="239"/>
      <c r="P810" s="239"/>
      <c r="Q810" s="239"/>
      <c r="R810" s="239"/>
      <c r="S810" s="239"/>
      <c r="T810" s="239"/>
      <c r="U810"/>
      <c r="V810"/>
      <c r="W810"/>
      <c r="X810"/>
      <c r="Y810"/>
      <c r="Z810"/>
      <c r="AA810"/>
    </row>
    <row r="811" spans="1:27" hidden="1" x14ac:dyDescent="0.2">
      <c r="A811" s="240"/>
      <c r="B811" s="318"/>
      <c r="C811" s="240"/>
      <c r="D811" s="241"/>
      <c r="E811" s="270"/>
      <c r="F811" s="271"/>
      <c r="G811" s="239"/>
      <c r="H811" s="239"/>
      <c r="I811" s="239"/>
      <c r="J811" s="239"/>
      <c r="K811" s="239"/>
      <c r="L811" s="239"/>
      <c r="M811" s="239"/>
      <c r="N811" s="239"/>
      <c r="O811" s="239"/>
      <c r="P811" s="239"/>
      <c r="Q811" s="239"/>
      <c r="R811" s="239"/>
      <c r="S811" s="239"/>
      <c r="T811" s="239"/>
      <c r="U811"/>
      <c r="V811"/>
      <c r="W811"/>
      <c r="X811"/>
      <c r="Y811"/>
      <c r="Z811"/>
      <c r="AA811"/>
    </row>
    <row r="812" spans="1:27" hidden="1" x14ac:dyDescent="0.2">
      <c r="A812" s="240"/>
      <c r="B812" s="318"/>
      <c r="C812" s="240"/>
      <c r="D812" s="241"/>
      <c r="E812" s="270"/>
      <c r="F812" s="271"/>
      <c r="G812" s="239"/>
      <c r="H812" s="239"/>
      <c r="I812" s="239"/>
      <c r="J812" s="239"/>
      <c r="K812" s="239"/>
      <c r="L812" s="239"/>
      <c r="M812" s="239"/>
      <c r="N812" s="239"/>
      <c r="O812" s="239"/>
      <c r="P812" s="239"/>
      <c r="Q812" s="239"/>
      <c r="R812" s="239"/>
      <c r="S812" s="239"/>
      <c r="T812" s="239"/>
      <c r="U812"/>
      <c r="V812"/>
      <c r="W812"/>
      <c r="X812"/>
      <c r="Y812"/>
      <c r="Z812"/>
      <c r="AA812"/>
    </row>
    <row r="813" spans="1:27" hidden="1" x14ac:dyDescent="0.2">
      <c r="A813" s="240"/>
      <c r="B813" s="318"/>
      <c r="C813" s="240"/>
      <c r="D813" s="241"/>
      <c r="E813" s="270"/>
      <c r="F813" s="271"/>
      <c r="G813" s="239"/>
      <c r="H813" s="239"/>
      <c r="I813" s="239"/>
      <c r="J813" s="239"/>
      <c r="K813" s="239"/>
      <c r="L813" s="239"/>
      <c r="M813" s="239"/>
      <c r="N813" s="239"/>
      <c r="O813" s="239"/>
      <c r="P813" s="239"/>
      <c r="Q813" s="239"/>
      <c r="R813" s="239"/>
      <c r="S813" s="239"/>
      <c r="T813" s="239"/>
      <c r="U813"/>
      <c r="V813"/>
      <c r="W813"/>
      <c r="X813"/>
      <c r="Y813"/>
      <c r="Z813"/>
      <c r="AA813"/>
    </row>
    <row r="814" spans="1:27" hidden="1" x14ac:dyDescent="0.2">
      <c r="A814" s="240"/>
      <c r="B814" s="318"/>
      <c r="C814" s="240"/>
      <c r="D814" s="241"/>
      <c r="E814" s="270"/>
      <c r="F814" s="271"/>
      <c r="G814" s="239"/>
      <c r="H814" s="239"/>
      <c r="I814" s="239"/>
      <c r="J814" s="239"/>
      <c r="K814" s="239"/>
      <c r="L814" s="239"/>
      <c r="M814" s="239"/>
      <c r="N814" s="239"/>
      <c r="O814" s="239"/>
      <c r="P814" s="239"/>
      <c r="Q814" s="239"/>
      <c r="R814" s="239"/>
      <c r="S814" s="239"/>
      <c r="T814" s="239"/>
      <c r="U814"/>
      <c r="V814"/>
      <c r="W814"/>
      <c r="X814"/>
      <c r="Y814"/>
      <c r="Z814"/>
      <c r="AA814"/>
    </row>
    <row r="815" spans="1:27" hidden="1" x14ac:dyDescent="0.2">
      <c r="A815" s="240"/>
      <c r="B815" s="318"/>
      <c r="C815" s="240"/>
      <c r="D815" s="241"/>
      <c r="E815" s="270"/>
      <c r="F815" s="271"/>
      <c r="G815" s="239"/>
      <c r="H815" s="239"/>
      <c r="I815" s="239"/>
      <c r="J815" s="239"/>
      <c r="K815" s="239"/>
      <c r="L815" s="239"/>
      <c r="M815" s="239"/>
      <c r="N815" s="239"/>
      <c r="O815" s="239"/>
      <c r="P815" s="239"/>
      <c r="Q815" s="239"/>
      <c r="R815" s="239"/>
      <c r="S815" s="239"/>
      <c r="T815" s="239"/>
      <c r="U815"/>
      <c r="V815"/>
      <c r="W815"/>
      <c r="X815"/>
      <c r="Y815"/>
      <c r="Z815"/>
      <c r="AA815"/>
    </row>
    <row r="816" spans="1:27" hidden="1" x14ac:dyDescent="0.2">
      <c r="A816" s="240"/>
      <c r="B816" s="318"/>
      <c r="C816" s="240"/>
      <c r="D816" s="241"/>
      <c r="E816" s="270"/>
      <c r="F816" s="271"/>
      <c r="G816" s="239"/>
      <c r="H816" s="239"/>
      <c r="I816" s="239"/>
      <c r="J816" s="239"/>
      <c r="K816" s="239"/>
      <c r="L816" s="239"/>
      <c r="M816" s="239"/>
      <c r="N816" s="239"/>
      <c r="O816" s="239"/>
      <c r="P816" s="239"/>
      <c r="Q816" s="239"/>
      <c r="R816" s="239"/>
      <c r="S816" s="239"/>
      <c r="T816" s="239"/>
      <c r="U816"/>
      <c r="V816"/>
      <c r="W816"/>
      <c r="X816"/>
      <c r="Y816"/>
      <c r="Z816"/>
      <c r="AA816"/>
    </row>
    <row r="817" spans="1:27" hidden="1" x14ac:dyDescent="0.2">
      <c r="A817" s="240"/>
      <c r="B817" s="318"/>
      <c r="C817" s="240"/>
      <c r="D817" s="241"/>
      <c r="E817" s="270"/>
      <c r="F817" s="271"/>
      <c r="G817" s="239"/>
      <c r="H817" s="239"/>
      <c r="I817" s="239"/>
      <c r="J817" s="239"/>
      <c r="K817" s="239"/>
      <c r="L817" s="239"/>
      <c r="M817" s="239"/>
      <c r="N817" s="239"/>
      <c r="O817" s="239"/>
      <c r="P817" s="239"/>
      <c r="Q817" s="239"/>
      <c r="R817" s="239"/>
      <c r="S817" s="239"/>
      <c r="T817" s="239"/>
      <c r="U817"/>
      <c r="V817"/>
      <c r="W817"/>
      <c r="X817"/>
      <c r="Y817"/>
      <c r="Z817"/>
      <c r="AA817"/>
    </row>
    <row r="818" spans="1:27" hidden="1" x14ac:dyDescent="0.2">
      <c r="A818" s="240"/>
      <c r="B818" s="318"/>
      <c r="C818" s="240"/>
      <c r="D818" s="241"/>
      <c r="E818" s="270"/>
      <c r="F818" s="271"/>
      <c r="G818" s="239"/>
      <c r="H818" s="239"/>
      <c r="I818" s="239"/>
      <c r="J818" s="239"/>
      <c r="K818" s="239"/>
      <c r="L818" s="239"/>
      <c r="M818" s="239"/>
      <c r="N818" s="239"/>
      <c r="O818" s="239"/>
      <c r="P818" s="239"/>
      <c r="Q818" s="239"/>
      <c r="R818" s="239"/>
      <c r="S818" s="239"/>
      <c r="T818" s="239"/>
      <c r="U818"/>
      <c r="V818"/>
      <c r="W818"/>
      <c r="X818"/>
      <c r="Y818"/>
      <c r="Z818"/>
      <c r="AA818"/>
    </row>
    <row r="819" spans="1:27" hidden="1" x14ac:dyDescent="0.2">
      <c r="A819" s="240"/>
      <c r="B819" s="318"/>
      <c r="C819" s="240"/>
      <c r="D819" s="241"/>
      <c r="E819" s="270"/>
      <c r="F819" s="271"/>
      <c r="G819" s="239"/>
      <c r="H819" s="239"/>
      <c r="I819" s="239"/>
      <c r="J819" s="239"/>
      <c r="K819" s="239"/>
      <c r="L819" s="239"/>
      <c r="M819" s="239"/>
      <c r="N819" s="239"/>
      <c r="O819" s="239"/>
      <c r="P819" s="239"/>
      <c r="Q819" s="239"/>
      <c r="R819" s="239"/>
      <c r="S819" s="239"/>
      <c r="T819" s="239"/>
      <c r="U819"/>
      <c r="V819"/>
      <c r="W819"/>
      <c r="X819"/>
      <c r="Y819"/>
      <c r="Z819"/>
      <c r="AA819"/>
    </row>
    <row r="820" spans="1:27" hidden="1" x14ac:dyDescent="0.2">
      <c r="A820" s="240"/>
      <c r="B820" s="318"/>
      <c r="C820" s="240"/>
      <c r="D820" s="241"/>
      <c r="E820" s="270"/>
      <c r="F820" s="271"/>
      <c r="G820" s="239"/>
      <c r="H820" s="239"/>
      <c r="I820" s="239"/>
      <c r="J820" s="239"/>
      <c r="K820" s="239"/>
      <c r="L820" s="239"/>
      <c r="M820" s="239"/>
      <c r="N820" s="239"/>
      <c r="O820" s="239"/>
      <c r="P820" s="239"/>
      <c r="Q820" s="239"/>
      <c r="R820" s="239"/>
      <c r="S820" s="239"/>
      <c r="T820" s="239"/>
      <c r="U820"/>
      <c r="V820"/>
      <c r="W820"/>
      <c r="X820"/>
      <c r="Y820"/>
      <c r="Z820"/>
      <c r="AA820"/>
    </row>
    <row r="821" spans="1:27" hidden="1" x14ac:dyDescent="0.2">
      <c r="A821" s="240"/>
      <c r="B821" s="318"/>
      <c r="C821" s="240"/>
      <c r="D821" s="241"/>
      <c r="E821" s="270"/>
      <c r="F821" s="271"/>
      <c r="G821" s="239"/>
      <c r="H821" s="239"/>
      <c r="I821" s="239"/>
      <c r="J821" s="239"/>
      <c r="K821" s="239"/>
      <c r="L821" s="239"/>
      <c r="M821" s="239"/>
      <c r="N821" s="239"/>
      <c r="O821" s="239"/>
      <c r="P821" s="239"/>
      <c r="Q821" s="239"/>
      <c r="R821" s="239"/>
      <c r="S821" s="239"/>
      <c r="T821" s="239"/>
      <c r="U821"/>
      <c r="V821"/>
      <c r="W821"/>
      <c r="X821"/>
      <c r="Y821"/>
      <c r="Z821"/>
      <c r="AA821"/>
    </row>
    <row r="822" spans="1:27" hidden="1" x14ac:dyDescent="0.2">
      <c r="A822" s="240"/>
      <c r="B822" s="318"/>
      <c r="C822" s="240"/>
      <c r="D822" s="241"/>
      <c r="E822" s="270"/>
      <c r="F822" s="271"/>
      <c r="G822" s="239"/>
      <c r="H822" s="239"/>
      <c r="I822" s="239"/>
      <c r="J822" s="239"/>
      <c r="K822" s="239"/>
      <c r="L822" s="239"/>
      <c r="M822" s="239"/>
      <c r="N822" s="239"/>
      <c r="O822" s="239"/>
      <c r="P822" s="239"/>
      <c r="Q822" s="239"/>
      <c r="R822" s="239"/>
      <c r="S822" s="239"/>
      <c r="T822" s="239"/>
      <c r="U822"/>
      <c r="V822"/>
      <c r="W822"/>
      <c r="X822"/>
      <c r="Y822"/>
      <c r="Z822"/>
      <c r="AA822"/>
    </row>
    <row r="823" spans="1:27" hidden="1" x14ac:dyDescent="0.2">
      <c r="A823" s="240"/>
      <c r="B823" s="318"/>
      <c r="C823" s="240"/>
      <c r="D823" s="241"/>
      <c r="E823" s="270"/>
      <c r="F823" s="271"/>
      <c r="G823" s="239"/>
      <c r="H823" s="239"/>
      <c r="I823" s="239"/>
      <c r="J823" s="239"/>
      <c r="K823" s="239"/>
      <c r="L823" s="239"/>
      <c r="M823" s="239"/>
      <c r="N823" s="239"/>
      <c r="O823" s="239"/>
      <c r="P823" s="239"/>
      <c r="Q823" s="239"/>
      <c r="R823" s="239"/>
      <c r="S823" s="239"/>
      <c r="T823" s="239"/>
      <c r="U823"/>
      <c r="V823"/>
      <c r="W823"/>
      <c r="X823"/>
      <c r="Y823"/>
      <c r="Z823"/>
      <c r="AA823"/>
    </row>
    <row r="824" spans="1:27" hidden="1" x14ac:dyDescent="0.2">
      <c r="A824" s="240"/>
      <c r="B824" s="318"/>
      <c r="C824" s="240"/>
      <c r="D824" s="241"/>
      <c r="E824" s="270"/>
      <c r="F824" s="271"/>
      <c r="G824" s="239"/>
      <c r="H824" s="239"/>
      <c r="I824" s="239"/>
      <c r="J824" s="239"/>
      <c r="K824" s="239"/>
      <c r="L824" s="239"/>
      <c r="M824" s="239"/>
      <c r="N824" s="239"/>
      <c r="O824" s="239"/>
      <c r="P824" s="239"/>
      <c r="Q824" s="239"/>
      <c r="R824" s="239"/>
      <c r="S824" s="239"/>
      <c r="T824" s="239"/>
      <c r="U824"/>
      <c r="V824"/>
      <c r="W824"/>
      <c r="X824"/>
      <c r="Y824"/>
      <c r="Z824"/>
      <c r="AA824"/>
    </row>
    <row r="825" spans="1:27" hidden="1" x14ac:dyDescent="0.2">
      <c r="A825" s="240"/>
      <c r="B825" s="318"/>
      <c r="C825" s="240"/>
      <c r="D825" s="241"/>
      <c r="E825" s="270"/>
      <c r="F825" s="271"/>
      <c r="G825" s="239"/>
      <c r="H825" s="239"/>
      <c r="I825" s="239"/>
      <c r="J825" s="239"/>
      <c r="K825" s="239"/>
      <c r="L825" s="239"/>
      <c r="M825" s="239"/>
      <c r="N825" s="239"/>
      <c r="O825" s="239"/>
      <c r="P825" s="239"/>
      <c r="Q825" s="239"/>
      <c r="R825" s="239"/>
      <c r="S825" s="239"/>
      <c r="T825" s="239"/>
      <c r="U825"/>
      <c r="V825"/>
      <c r="W825"/>
      <c r="X825"/>
      <c r="Y825"/>
      <c r="Z825"/>
      <c r="AA825"/>
    </row>
    <row r="826" spans="1:27" hidden="1" x14ac:dyDescent="0.2">
      <c r="A826" s="240"/>
      <c r="B826" s="318"/>
      <c r="C826" s="240"/>
      <c r="D826" s="241"/>
      <c r="E826" s="270"/>
      <c r="F826" s="271"/>
      <c r="G826" s="239"/>
      <c r="H826" s="239"/>
      <c r="I826" s="239"/>
      <c r="J826" s="239"/>
      <c r="K826" s="239"/>
      <c r="L826" s="239"/>
      <c r="M826" s="239"/>
      <c r="N826" s="239"/>
      <c r="O826" s="239"/>
      <c r="P826" s="239"/>
      <c r="Q826" s="239"/>
      <c r="R826" s="239"/>
      <c r="S826" s="239"/>
      <c r="T826" s="239"/>
      <c r="U826"/>
      <c r="V826"/>
      <c r="W826"/>
      <c r="X826"/>
      <c r="Y826"/>
      <c r="Z826"/>
      <c r="AA826"/>
    </row>
    <row r="827" spans="1:27" hidden="1" x14ac:dyDescent="0.2">
      <c r="A827" s="240"/>
      <c r="B827" s="318"/>
      <c r="C827" s="240"/>
      <c r="D827" s="241"/>
      <c r="E827" s="270"/>
      <c r="F827" s="271"/>
      <c r="G827" s="239"/>
      <c r="H827" s="239"/>
      <c r="I827" s="239"/>
      <c r="J827" s="239"/>
      <c r="K827" s="239"/>
      <c r="L827" s="239"/>
      <c r="M827" s="239"/>
      <c r="N827" s="239"/>
      <c r="O827" s="239"/>
      <c r="P827" s="239"/>
      <c r="Q827" s="239"/>
      <c r="R827" s="239"/>
      <c r="S827" s="239"/>
      <c r="T827" s="239"/>
      <c r="U827"/>
      <c r="V827"/>
      <c r="W827"/>
      <c r="X827"/>
      <c r="Y827"/>
      <c r="Z827"/>
      <c r="AA827"/>
    </row>
    <row r="828" spans="1:27" hidden="1" x14ac:dyDescent="0.2">
      <c r="A828" s="240"/>
      <c r="B828" s="318"/>
      <c r="C828" s="240"/>
      <c r="D828" s="241"/>
      <c r="E828" s="270"/>
      <c r="F828" s="271"/>
      <c r="G828" s="239"/>
      <c r="H828" s="239"/>
      <c r="I828" s="239"/>
      <c r="J828" s="239"/>
      <c r="K828" s="239"/>
      <c r="L828" s="239"/>
      <c r="M828" s="239"/>
      <c r="N828" s="239"/>
      <c r="O828" s="239"/>
      <c r="P828" s="239"/>
      <c r="Q828" s="239"/>
      <c r="R828" s="239"/>
      <c r="S828" s="239"/>
      <c r="T828" s="239"/>
      <c r="U828"/>
      <c r="V828"/>
      <c r="W828"/>
      <c r="X828"/>
      <c r="Y828"/>
      <c r="Z828"/>
      <c r="AA828"/>
    </row>
    <row r="829" spans="1:27" hidden="1" x14ac:dyDescent="0.2">
      <c r="A829" s="240"/>
      <c r="B829" s="318"/>
      <c r="C829" s="240"/>
      <c r="D829" s="241"/>
      <c r="E829" s="270"/>
      <c r="F829" s="271"/>
      <c r="G829" s="239"/>
      <c r="H829" s="239"/>
      <c r="I829" s="239"/>
      <c r="J829" s="239"/>
      <c r="K829" s="239"/>
      <c r="L829" s="239"/>
      <c r="M829" s="239"/>
      <c r="N829" s="239"/>
      <c r="O829" s="239"/>
      <c r="P829" s="239"/>
      <c r="Q829" s="239"/>
      <c r="R829" s="239"/>
      <c r="S829" s="239"/>
      <c r="T829" s="239"/>
      <c r="U829"/>
      <c r="V829"/>
      <c r="W829"/>
      <c r="X829"/>
      <c r="Y829"/>
      <c r="Z829"/>
      <c r="AA829"/>
    </row>
    <row r="830" spans="1:27" hidden="1" x14ac:dyDescent="0.2">
      <c r="A830" s="240"/>
      <c r="B830" s="318"/>
      <c r="C830" s="240"/>
      <c r="D830" s="241"/>
      <c r="E830" s="270"/>
      <c r="F830" s="271"/>
      <c r="G830" s="239"/>
      <c r="H830" s="239"/>
      <c r="I830" s="239"/>
      <c r="J830" s="239"/>
      <c r="K830" s="239"/>
      <c r="L830" s="239"/>
      <c r="M830" s="239"/>
      <c r="N830" s="239"/>
      <c r="O830" s="239"/>
      <c r="P830" s="239"/>
      <c r="Q830" s="239"/>
      <c r="R830" s="239"/>
      <c r="S830" s="239"/>
      <c r="T830" s="239"/>
      <c r="U830"/>
      <c r="V830"/>
      <c r="W830"/>
      <c r="X830"/>
      <c r="Y830"/>
      <c r="Z830"/>
      <c r="AA830"/>
    </row>
    <row r="831" spans="1:27" hidden="1" x14ac:dyDescent="0.2">
      <c r="A831" s="240"/>
      <c r="B831" s="318"/>
      <c r="C831" s="240"/>
      <c r="D831" s="241"/>
      <c r="E831" s="270"/>
      <c r="F831" s="271"/>
      <c r="G831" s="239"/>
      <c r="H831" s="239"/>
      <c r="I831" s="239"/>
      <c r="J831" s="239"/>
      <c r="K831" s="239"/>
      <c r="L831" s="239"/>
      <c r="M831" s="239"/>
      <c r="N831" s="239"/>
      <c r="O831" s="239"/>
      <c r="P831" s="239"/>
      <c r="Q831" s="239"/>
      <c r="R831" s="239"/>
      <c r="S831" s="239"/>
      <c r="T831" s="239"/>
      <c r="U831"/>
      <c r="V831"/>
      <c r="W831"/>
      <c r="X831"/>
      <c r="Y831"/>
      <c r="Z831"/>
      <c r="AA831"/>
    </row>
    <row r="832" spans="1:27" hidden="1" x14ac:dyDescent="0.2">
      <c r="A832" s="240"/>
      <c r="B832" s="318"/>
      <c r="C832" s="240"/>
      <c r="D832" s="241"/>
      <c r="E832" s="270"/>
      <c r="F832" s="271"/>
      <c r="G832" s="239"/>
      <c r="H832" s="239"/>
      <c r="I832" s="239"/>
      <c r="J832" s="239"/>
      <c r="K832" s="239"/>
      <c r="L832" s="239"/>
      <c r="M832" s="239"/>
      <c r="N832" s="239"/>
      <c r="O832" s="239"/>
      <c r="P832" s="239"/>
      <c r="Q832" s="239"/>
      <c r="R832" s="239"/>
      <c r="S832" s="239"/>
      <c r="T832" s="239"/>
      <c r="U832"/>
      <c r="V832"/>
      <c r="W832"/>
      <c r="X832"/>
      <c r="Y832"/>
      <c r="Z832"/>
      <c r="AA832"/>
    </row>
    <row r="833" spans="1:27" hidden="1" x14ac:dyDescent="0.2">
      <c r="A833" s="240"/>
      <c r="B833" s="318"/>
      <c r="C833" s="240"/>
      <c r="D833" s="241"/>
      <c r="E833" s="270"/>
      <c r="F833" s="271"/>
      <c r="G833" s="239"/>
      <c r="H833" s="239"/>
      <c r="I833" s="239"/>
      <c r="J833" s="239"/>
      <c r="K833" s="239"/>
      <c r="L833" s="239"/>
      <c r="M833" s="239"/>
      <c r="N833" s="239"/>
      <c r="O833" s="239"/>
      <c r="P833" s="239"/>
      <c r="Q833" s="239"/>
      <c r="R833" s="239"/>
      <c r="S833" s="239"/>
      <c r="T833" s="239"/>
      <c r="U833"/>
      <c r="V833"/>
      <c r="W833"/>
      <c r="X833"/>
      <c r="Y833"/>
      <c r="Z833"/>
      <c r="AA833"/>
    </row>
    <row r="834" spans="1:27" hidden="1" x14ac:dyDescent="0.2">
      <c r="A834" s="240"/>
      <c r="B834" s="318"/>
      <c r="C834" s="240"/>
      <c r="D834" s="241"/>
      <c r="E834" s="270"/>
      <c r="F834" s="271"/>
      <c r="G834" s="239"/>
      <c r="H834" s="239"/>
      <c r="I834" s="239"/>
      <c r="J834" s="239"/>
      <c r="K834" s="239"/>
      <c r="L834" s="239"/>
      <c r="M834" s="239"/>
      <c r="N834" s="239"/>
      <c r="O834" s="239"/>
      <c r="P834" s="239"/>
      <c r="Q834" s="239"/>
      <c r="R834" s="239"/>
      <c r="S834" s="239"/>
      <c r="T834" s="239"/>
      <c r="U834"/>
      <c r="V834"/>
      <c r="W834"/>
      <c r="X834"/>
      <c r="Y834"/>
      <c r="Z834"/>
      <c r="AA834"/>
    </row>
    <row r="835" spans="1:27" hidden="1" x14ac:dyDescent="0.2">
      <c r="A835" s="240"/>
      <c r="B835" s="318"/>
      <c r="C835" s="240"/>
      <c r="D835" s="241"/>
      <c r="E835" s="270"/>
      <c r="F835" s="271"/>
      <c r="G835" s="239"/>
      <c r="H835" s="239"/>
      <c r="I835" s="239"/>
      <c r="J835" s="239"/>
      <c r="K835" s="239"/>
      <c r="L835" s="239"/>
      <c r="M835" s="239"/>
      <c r="N835" s="239"/>
      <c r="O835" s="239"/>
      <c r="P835" s="239"/>
      <c r="Q835" s="239"/>
      <c r="R835" s="239"/>
      <c r="S835" s="239"/>
      <c r="T835" s="239"/>
      <c r="U835"/>
      <c r="V835"/>
      <c r="W835"/>
      <c r="X835"/>
      <c r="Y835"/>
      <c r="Z835"/>
      <c r="AA835"/>
    </row>
    <row r="836" spans="1:27" hidden="1" x14ac:dyDescent="0.2">
      <c r="A836" s="240"/>
      <c r="B836" s="318"/>
      <c r="C836" s="240"/>
      <c r="D836" s="241"/>
      <c r="E836" s="270"/>
      <c r="F836" s="271"/>
      <c r="G836" s="239"/>
      <c r="H836" s="239"/>
      <c r="I836" s="239"/>
      <c r="J836" s="239"/>
      <c r="K836" s="239"/>
      <c r="L836" s="239"/>
      <c r="M836" s="239"/>
      <c r="N836" s="239"/>
      <c r="O836" s="239"/>
      <c r="P836" s="239"/>
      <c r="Q836" s="239"/>
      <c r="R836" s="239"/>
      <c r="S836" s="239"/>
      <c r="T836" s="239"/>
      <c r="U836"/>
      <c r="V836"/>
      <c r="W836"/>
      <c r="X836"/>
      <c r="Y836"/>
      <c r="Z836"/>
      <c r="AA836"/>
    </row>
    <row r="837" spans="1:27" hidden="1" x14ac:dyDescent="0.2">
      <c r="A837" s="240"/>
      <c r="B837" s="318"/>
      <c r="C837" s="240"/>
      <c r="D837" s="241"/>
      <c r="E837" s="270"/>
      <c r="F837" s="271"/>
      <c r="G837" s="239"/>
      <c r="H837" s="239"/>
      <c r="I837" s="239"/>
      <c r="J837" s="239"/>
      <c r="K837" s="239"/>
      <c r="L837" s="239"/>
      <c r="M837" s="239"/>
      <c r="N837" s="239"/>
      <c r="O837" s="239"/>
      <c r="P837" s="239"/>
      <c r="Q837" s="239"/>
      <c r="R837" s="239"/>
      <c r="S837" s="239"/>
      <c r="T837" s="239"/>
      <c r="U837"/>
      <c r="V837"/>
      <c r="W837"/>
      <c r="X837"/>
      <c r="Y837"/>
      <c r="Z837"/>
      <c r="AA837"/>
    </row>
    <row r="838" spans="1:27" hidden="1" x14ac:dyDescent="0.2">
      <c r="A838" s="240"/>
      <c r="B838" s="318"/>
      <c r="C838" s="240"/>
      <c r="D838" s="241"/>
      <c r="E838" s="270"/>
      <c r="F838" s="271"/>
      <c r="G838" s="239"/>
      <c r="H838" s="239"/>
      <c r="I838" s="239"/>
      <c r="J838" s="239"/>
      <c r="K838" s="239"/>
      <c r="L838" s="239"/>
      <c r="M838" s="239"/>
      <c r="N838" s="239"/>
      <c r="O838" s="239"/>
      <c r="P838" s="239"/>
      <c r="Q838" s="239"/>
      <c r="R838" s="239"/>
      <c r="S838" s="239"/>
      <c r="T838" s="239"/>
      <c r="U838"/>
      <c r="V838"/>
      <c r="W838"/>
      <c r="X838"/>
      <c r="Y838"/>
      <c r="Z838"/>
      <c r="AA838"/>
    </row>
    <row r="839" spans="1:27" hidden="1" x14ac:dyDescent="0.2">
      <c r="A839" s="240"/>
      <c r="B839" s="318"/>
      <c r="C839" s="240"/>
      <c r="D839" s="241"/>
      <c r="E839" s="270"/>
      <c r="F839" s="271"/>
      <c r="G839" s="239"/>
      <c r="H839" s="239"/>
      <c r="I839" s="239"/>
      <c r="J839" s="239"/>
      <c r="K839" s="239"/>
      <c r="L839" s="239"/>
      <c r="M839" s="239"/>
      <c r="N839" s="239"/>
      <c r="O839" s="239"/>
      <c r="P839" s="239"/>
      <c r="Q839" s="239"/>
      <c r="R839" s="239"/>
      <c r="S839" s="239"/>
      <c r="T839" s="239"/>
      <c r="U839"/>
      <c r="V839"/>
      <c r="W839"/>
      <c r="X839"/>
      <c r="Y839"/>
      <c r="Z839"/>
      <c r="AA839"/>
    </row>
    <row r="840" spans="1:27" hidden="1" x14ac:dyDescent="0.2">
      <c r="A840" s="240"/>
      <c r="B840" s="318"/>
      <c r="C840" s="240"/>
      <c r="D840" s="241"/>
      <c r="E840" s="270"/>
      <c r="F840" s="271"/>
      <c r="G840" s="239"/>
      <c r="H840" s="239"/>
      <c r="I840" s="239"/>
      <c r="J840" s="239"/>
      <c r="K840" s="239"/>
      <c r="L840" s="239"/>
      <c r="M840" s="239"/>
      <c r="N840" s="239"/>
      <c r="O840" s="239"/>
      <c r="P840" s="239"/>
      <c r="Q840" s="239"/>
      <c r="R840" s="239"/>
      <c r="S840" s="239"/>
      <c r="T840" s="239"/>
      <c r="U840"/>
      <c r="V840"/>
      <c r="W840"/>
      <c r="X840"/>
      <c r="Y840"/>
      <c r="Z840"/>
      <c r="AA840"/>
    </row>
    <row r="841" spans="1:27" hidden="1" x14ac:dyDescent="0.2">
      <c r="A841" s="240"/>
      <c r="B841" s="318"/>
      <c r="C841" s="240"/>
      <c r="D841" s="241"/>
      <c r="E841" s="270"/>
      <c r="F841" s="271"/>
      <c r="G841" s="239"/>
      <c r="H841" s="239"/>
      <c r="I841" s="239"/>
      <c r="J841" s="239"/>
      <c r="K841" s="239"/>
      <c r="L841" s="239"/>
      <c r="M841" s="239"/>
      <c r="N841" s="239"/>
      <c r="O841" s="239"/>
      <c r="P841" s="239"/>
      <c r="Q841" s="239"/>
      <c r="R841" s="239"/>
      <c r="S841" s="239"/>
      <c r="T841" s="239"/>
      <c r="U841"/>
      <c r="V841"/>
      <c r="W841"/>
      <c r="X841"/>
      <c r="Y841"/>
      <c r="Z841"/>
      <c r="AA841"/>
    </row>
    <row r="842" spans="1:27" hidden="1" x14ac:dyDescent="0.2">
      <c r="A842" s="240"/>
      <c r="B842" s="318"/>
      <c r="C842" s="240"/>
      <c r="D842" s="241"/>
      <c r="E842" s="270"/>
      <c r="F842" s="271"/>
      <c r="G842" s="239"/>
      <c r="H842" s="239"/>
      <c r="I842" s="239"/>
      <c r="J842" s="239"/>
      <c r="K842" s="239"/>
      <c r="L842" s="239"/>
      <c r="M842" s="239"/>
      <c r="N842" s="239"/>
      <c r="O842" s="239"/>
      <c r="P842" s="239"/>
      <c r="Q842" s="239"/>
      <c r="R842" s="239"/>
      <c r="S842" s="239"/>
      <c r="T842" s="239"/>
      <c r="U842"/>
      <c r="V842"/>
      <c r="W842"/>
      <c r="X842"/>
      <c r="Y842"/>
      <c r="Z842"/>
      <c r="AA842"/>
    </row>
    <row r="843" spans="1:27" hidden="1" x14ac:dyDescent="0.2">
      <c r="A843" s="240"/>
      <c r="B843" s="318"/>
      <c r="C843" s="240"/>
      <c r="D843" s="241"/>
      <c r="E843" s="270"/>
      <c r="F843" s="271"/>
      <c r="G843" s="239"/>
      <c r="H843" s="239"/>
      <c r="I843" s="239"/>
      <c r="J843" s="239"/>
      <c r="K843" s="239"/>
      <c r="L843" s="239"/>
      <c r="M843" s="239"/>
      <c r="N843" s="239"/>
      <c r="O843" s="239"/>
      <c r="P843" s="239"/>
      <c r="Q843" s="239"/>
      <c r="R843" s="239"/>
      <c r="S843" s="239"/>
      <c r="T843" s="239"/>
      <c r="U843"/>
      <c r="V843"/>
      <c r="W843"/>
      <c r="X843"/>
      <c r="Y843"/>
      <c r="Z843"/>
      <c r="AA843"/>
    </row>
    <row r="844" spans="1:27" hidden="1" x14ac:dyDescent="0.2">
      <c r="A844" s="240"/>
      <c r="B844" s="318"/>
      <c r="C844" s="240"/>
      <c r="D844" s="241"/>
      <c r="E844" s="270"/>
      <c r="F844" s="271"/>
      <c r="G844" s="239"/>
      <c r="H844" s="239"/>
      <c r="I844" s="239"/>
      <c r="J844" s="239"/>
      <c r="K844" s="239"/>
      <c r="L844" s="239"/>
      <c r="M844" s="239"/>
      <c r="N844" s="239"/>
      <c r="O844" s="239"/>
      <c r="P844" s="239"/>
      <c r="Q844" s="239"/>
      <c r="R844" s="239"/>
      <c r="S844" s="239"/>
      <c r="T844" s="239"/>
      <c r="U844"/>
      <c r="V844"/>
      <c r="W844"/>
      <c r="X844"/>
      <c r="Y844"/>
      <c r="Z844"/>
      <c r="AA844"/>
    </row>
    <row r="845" spans="1:27" hidden="1" x14ac:dyDescent="0.2">
      <c r="A845" s="240"/>
      <c r="B845" s="318"/>
      <c r="C845" s="240"/>
      <c r="D845" s="241"/>
      <c r="E845" s="270"/>
      <c r="F845" s="271"/>
      <c r="G845" s="239"/>
      <c r="H845" s="239"/>
      <c r="I845" s="239"/>
      <c r="J845" s="239"/>
      <c r="K845" s="239"/>
      <c r="L845" s="239"/>
      <c r="M845" s="239"/>
      <c r="N845" s="239"/>
      <c r="O845" s="239"/>
      <c r="P845" s="239"/>
      <c r="Q845" s="239"/>
      <c r="R845" s="239"/>
      <c r="S845" s="239"/>
      <c r="T845" s="239"/>
      <c r="U845"/>
      <c r="V845"/>
      <c r="W845"/>
      <c r="X845"/>
      <c r="Y845"/>
      <c r="Z845"/>
      <c r="AA845"/>
    </row>
    <row r="846" spans="1:27" hidden="1" x14ac:dyDescent="0.2">
      <c r="A846" s="240"/>
      <c r="B846" s="318"/>
      <c r="C846" s="240"/>
      <c r="D846" s="241"/>
      <c r="E846" s="270"/>
      <c r="F846" s="271"/>
      <c r="G846" s="239"/>
      <c r="H846" s="239"/>
      <c r="I846" s="239"/>
      <c r="J846" s="239"/>
      <c r="K846" s="239"/>
      <c r="L846" s="239"/>
      <c r="M846" s="239"/>
      <c r="N846" s="239"/>
      <c r="O846" s="239"/>
      <c r="P846" s="239"/>
      <c r="Q846" s="239"/>
      <c r="R846" s="239"/>
      <c r="S846" s="239"/>
      <c r="T846" s="239"/>
      <c r="U846"/>
      <c r="V846"/>
      <c r="W846"/>
      <c r="X846"/>
      <c r="Y846"/>
      <c r="Z846"/>
      <c r="AA846"/>
    </row>
    <row r="847" spans="1:27" hidden="1" x14ac:dyDescent="0.2">
      <c r="A847" s="240"/>
      <c r="B847" s="318"/>
      <c r="C847" s="240"/>
      <c r="D847" s="241"/>
      <c r="E847" s="270"/>
      <c r="F847" s="271"/>
      <c r="G847" s="239"/>
      <c r="H847" s="239"/>
      <c r="I847" s="239"/>
      <c r="J847" s="239"/>
      <c r="K847" s="239"/>
      <c r="L847" s="239"/>
      <c r="M847" s="239"/>
      <c r="N847" s="239"/>
      <c r="O847" s="239"/>
      <c r="P847" s="239"/>
      <c r="Q847" s="239"/>
      <c r="R847" s="239"/>
      <c r="S847" s="239"/>
      <c r="T847" s="239"/>
      <c r="U847"/>
      <c r="V847"/>
      <c r="W847"/>
      <c r="X847"/>
      <c r="Y847"/>
      <c r="Z847"/>
      <c r="AA847"/>
    </row>
    <row r="848" spans="1:27" hidden="1" x14ac:dyDescent="0.2">
      <c r="A848" s="240"/>
      <c r="B848" s="318"/>
      <c r="C848" s="240"/>
      <c r="D848" s="241"/>
      <c r="E848" s="270"/>
      <c r="F848" s="271"/>
      <c r="G848" s="239"/>
      <c r="H848" s="239"/>
      <c r="I848" s="239"/>
      <c r="J848" s="239"/>
      <c r="K848" s="239"/>
      <c r="L848" s="239"/>
      <c r="M848" s="239"/>
      <c r="N848" s="239"/>
      <c r="O848" s="239"/>
      <c r="P848" s="239"/>
      <c r="Q848" s="239"/>
      <c r="R848" s="239"/>
      <c r="S848" s="239"/>
      <c r="T848" s="239"/>
      <c r="U848"/>
      <c r="V848"/>
      <c r="W848"/>
      <c r="X848"/>
      <c r="Y848"/>
      <c r="Z848"/>
      <c r="AA848"/>
    </row>
    <row r="849" spans="1:27" hidden="1" x14ac:dyDescent="0.2">
      <c r="A849" s="240"/>
      <c r="B849" s="318"/>
      <c r="C849" s="240"/>
      <c r="D849" s="241"/>
      <c r="E849" s="270"/>
      <c r="F849" s="271"/>
      <c r="G849" s="239"/>
      <c r="H849" s="239"/>
      <c r="I849" s="239"/>
      <c r="J849" s="239"/>
      <c r="K849" s="239"/>
      <c r="L849" s="239"/>
      <c r="M849" s="239"/>
      <c r="N849" s="239"/>
      <c r="O849" s="239"/>
      <c r="P849" s="239"/>
      <c r="Q849" s="239"/>
      <c r="R849" s="239"/>
      <c r="S849" s="239"/>
      <c r="T849" s="239"/>
      <c r="U849"/>
      <c r="V849"/>
      <c r="W849"/>
      <c r="X849"/>
      <c r="Y849"/>
      <c r="Z849"/>
      <c r="AA849"/>
    </row>
    <row r="850" spans="1:27" hidden="1" x14ac:dyDescent="0.2">
      <c r="A850" s="240"/>
      <c r="B850" s="318"/>
      <c r="C850" s="240"/>
      <c r="D850" s="241"/>
      <c r="E850" s="270"/>
      <c r="F850" s="271"/>
      <c r="G850" s="239"/>
      <c r="H850" s="239"/>
      <c r="I850" s="239"/>
      <c r="J850" s="239"/>
      <c r="K850" s="239"/>
      <c r="L850" s="239"/>
      <c r="M850" s="239"/>
      <c r="N850" s="239"/>
      <c r="O850" s="239"/>
      <c r="P850" s="239"/>
      <c r="Q850" s="239"/>
      <c r="R850" s="239"/>
      <c r="S850" s="239"/>
      <c r="T850" s="239"/>
      <c r="U850"/>
      <c r="V850"/>
      <c r="W850"/>
      <c r="X850"/>
      <c r="Y850"/>
      <c r="Z850"/>
      <c r="AA850"/>
    </row>
    <row r="851" spans="1:27" hidden="1" x14ac:dyDescent="0.2">
      <c r="A851" s="240"/>
      <c r="B851" s="318"/>
      <c r="C851" s="240"/>
      <c r="D851" s="241"/>
      <c r="E851" s="270"/>
      <c r="F851" s="271"/>
      <c r="G851" s="239"/>
      <c r="H851" s="239"/>
      <c r="I851" s="239"/>
      <c r="J851" s="239"/>
      <c r="K851" s="239"/>
      <c r="L851" s="239"/>
      <c r="M851" s="239"/>
      <c r="N851" s="239"/>
      <c r="O851" s="239"/>
      <c r="P851" s="239"/>
      <c r="Q851" s="239"/>
      <c r="R851" s="239"/>
      <c r="S851" s="239"/>
      <c r="T851" s="239"/>
      <c r="U851"/>
      <c r="V851"/>
      <c r="W851"/>
      <c r="X851"/>
      <c r="Y851"/>
      <c r="Z851"/>
      <c r="AA851"/>
    </row>
    <row r="852" spans="1:27" hidden="1" x14ac:dyDescent="0.2">
      <c r="A852" s="240"/>
      <c r="B852" s="318"/>
      <c r="C852" s="240"/>
      <c r="D852" s="241"/>
      <c r="E852" s="270"/>
      <c r="F852" s="271"/>
      <c r="G852" s="239"/>
      <c r="H852" s="239"/>
      <c r="I852" s="239"/>
      <c r="J852" s="239"/>
      <c r="K852" s="239"/>
      <c r="L852" s="239"/>
      <c r="M852" s="239"/>
      <c r="N852" s="239"/>
      <c r="O852" s="239"/>
      <c r="P852" s="239"/>
      <c r="Q852" s="239"/>
      <c r="R852" s="239"/>
      <c r="S852" s="239"/>
      <c r="T852" s="239"/>
      <c r="U852"/>
      <c r="V852"/>
      <c r="W852"/>
      <c r="X852"/>
      <c r="Y852"/>
      <c r="Z852"/>
      <c r="AA852"/>
    </row>
    <row r="853" spans="1:27" hidden="1" x14ac:dyDescent="0.2">
      <c r="A853" s="240"/>
      <c r="B853" s="318"/>
      <c r="C853" s="240"/>
      <c r="D853" s="241"/>
      <c r="E853" s="270"/>
      <c r="F853" s="271"/>
      <c r="G853" s="239"/>
      <c r="H853" s="239"/>
      <c r="I853" s="239"/>
      <c r="J853" s="239"/>
      <c r="K853" s="239"/>
      <c r="L853" s="239"/>
      <c r="M853" s="239"/>
      <c r="N853" s="239"/>
      <c r="O853" s="239"/>
      <c r="P853" s="239"/>
      <c r="Q853" s="239"/>
      <c r="R853" s="239"/>
      <c r="S853" s="239"/>
      <c r="T853" s="239"/>
      <c r="U853"/>
      <c r="V853"/>
      <c r="W853"/>
      <c r="X853"/>
      <c r="Y853"/>
      <c r="Z853"/>
      <c r="AA853"/>
    </row>
    <row r="854" spans="1:27" hidden="1" x14ac:dyDescent="0.2">
      <c r="A854" s="240"/>
      <c r="B854" s="318"/>
      <c r="C854" s="240"/>
      <c r="D854" s="241"/>
      <c r="E854" s="270"/>
      <c r="F854" s="271"/>
      <c r="G854" s="239"/>
      <c r="H854" s="239"/>
      <c r="I854" s="239"/>
      <c r="J854" s="239"/>
      <c r="K854" s="239"/>
      <c r="L854" s="239"/>
      <c r="M854" s="239"/>
      <c r="N854" s="239"/>
      <c r="O854" s="239"/>
      <c r="P854" s="239"/>
      <c r="Q854" s="239"/>
      <c r="R854" s="239"/>
      <c r="S854" s="239"/>
      <c r="T854" s="239"/>
      <c r="U854"/>
      <c r="V854"/>
      <c r="W854"/>
      <c r="X854"/>
      <c r="Y854"/>
      <c r="Z854"/>
      <c r="AA854"/>
    </row>
    <row r="855" spans="1:27" hidden="1" x14ac:dyDescent="0.2">
      <c r="A855" s="240"/>
      <c r="B855" s="318"/>
      <c r="C855" s="240"/>
      <c r="D855" s="241"/>
      <c r="E855" s="270"/>
      <c r="F855" s="271"/>
      <c r="G855" s="239"/>
      <c r="H855" s="239"/>
      <c r="I855" s="239"/>
      <c r="J855" s="239"/>
      <c r="K855" s="239"/>
      <c r="L855" s="239"/>
      <c r="M855" s="239"/>
      <c r="N855" s="239"/>
      <c r="O855" s="239"/>
      <c r="P855" s="239"/>
      <c r="Q855" s="239"/>
      <c r="R855" s="239"/>
      <c r="S855" s="239"/>
      <c r="T855" s="239"/>
      <c r="U855"/>
      <c r="V855"/>
      <c r="W855"/>
      <c r="X855"/>
      <c r="Y855"/>
      <c r="Z855"/>
      <c r="AA855"/>
    </row>
    <row r="856" spans="1:27" hidden="1" x14ac:dyDescent="0.2">
      <c r="A856" s="240"/>
      <c r="B856" s="318"/>
      <c r="C856" s="240"/>
      <c r="D856" s="241"/>
      <c r="E856" s="270"/>
      <c r="F856" s="271"/>
      <c r="G856" s="239"/>
      <c r="H856" s="239"/>
      <c r="I856" s="239"/>
      <c r="J856" s="239"/>
      <c r="K856" s="239"/>
      <c r="L856" s="239"/>
      <c r="M856" s="239"/>
      <c r="N856" s="239"/>
      <c r="O856" s="239"/>
      <c r="P856" s="239"/>
      <c r="Q856" s="239"/>
      <c r="R856" s="239"/>
      <c r="S856" s="239"/>
      <c r="T856" s="239"/>
      <c r="U856"/>
      <c r="V856"/>
      <c r="W856"/>
      <c r="X856"/>
      <c r="Y856"/>
      <c r="Z856"/>
      <c r="AA856"/>
    </row>
    <row r="857" spans="1:27" hidden="1" x14ac:dyDescent="0.2">
      <c r="A857" s="240"/>
      <c r="B857" s="318"/>
      <c r="C857" s="240"/>
      <c r="D857" s="241"/>
      <c r="E857" s="270"/>
      <c r="F857" s="271"/>
      <c r="G857" s="239"/>
      <c r="H857" s="239"/>
      <c r="I857" s="239"/>
      <c r="J857" s="239"/>
      <c r="K857" s="239"/>
      <c r="L857" s="239"/>
      <c r="M857" s="239"/>
      <c r="N857" s="239"/>
      <c r="O857" s="239"/>
      <c r="P857" s="239"/>
      <c r="Q857" s="239"/>
      <c r="R857" s="239"/>
      <c r="S857" s="239"/>
      <c r="T857" s="239"/>
      <c r="U857"/>
      <c r="V857"/>
      <c r="W857"/>
      <c r="X857"/>
      <c r="Y857"/>
      <c r="Z857"/>
      <c r="AA857"/>
    </row>
    <row r="858" spans="1:27" hidden="1" x14ac:dyDescent="0.2">
      <c r="A858" s="240"/>
      <c r="B858" s="318"/>
      <c r="C858" s="240"/>
      <c r="D858" s="241"/>
      <c r="E858" s="270"/>
      <c r="F858" s="271"/>
      <c r="G858" s="239"/>
      <c r="H858" s="239"/>
      <c r="I858" s="239"/>
      <c r="J858" s="239"/>
      <c r="K858" s="239"/>
      <c r="L858" s="239"/>
      <c r="M858" s="239"/>
      <c r="N858" s="239"/>
      <c r="O858" s="239"/>
      <c r="P858" s="239"/>
      <c r="Q858" s="239"/>
      <c r="R858" s="239"/>
      <c r="S858" s="239"/>
      <c r="T858" s="239"/>
      <c r="U858"/>
      <c r="V858"/>
      <c r="W858"/>
      <c r="X858"/>
      <c r="Y858"/>
      <c r="Z858"/>
      <c r="AA858"/>
    </row>
    <row r="859" spans="1:27" hidden="1" x14ac:dyDescent="0.2">
      <c r="A859" s="240"/>
      <c r="B859" s="318"/>
      <c r="C859" s="240"/>
      <c r="D859" s="241"/>
      <c r="E859" s="270"/>
      <c r="F859" s="271"/>
      <c r="G859" s="239"/>
      <c r="H859" s="239"/>
      <c r="I859" s="239"/>
      <c r="J859" s="239"/>
      <c r="K859" s="239"/>
      <c r="L859" s="239"/>
      <c r="M859" s="239"/>
      <c r="N859" s="239"/>
      <c r="O859" s="239"/>
      <c r="P859" s="239"/>
      <c r="Q859" s="239"/>
      <c r="R859" s="239"/>
      <c r="S859" s="239"/>
      <c r="T859" s="239"/>
      <c r="U859"/>
      <c r="V859"/>
      <c r="W859"/>
      <c r="X859"/>
      <c r="Y859"/>
      <c r="Z859"/>
      <c r="AA859"/>
    </row>
    <row r="860" spans="1:27" hidden="1" x14ac:dyDescent="0.2">
      <c r="A860" s="240"/>
      <c r="B860" s="318"/>
      <c r="C860" s="240"/>
      <c r="D860" s="241"/>
      <c r="E860" s="270"/>
      <c r="F860" s="271"/>
      <c r="G860" s="239"/>
      <c r="H860" s="239"/>
      <c r="I860" s="239"/>
      <c r="J860" s="239"/>
      <c r="K860" s="239"/>
      <c r="L860" s="239"/>
      <c r="M860" s="239"/>
      <c r="N860" s="239"/>
      <c r="O860" s="239"/>
      <c r="P860" s="239"/>
      <c r="Q860" s="239"/>
      <c r="R860" s="239"/>
      <c r="S860" s="239"/>
      <c r="T860" s="239"/>
      <c r="U860"/>
      <c r="V860"/>
      <c r="W860"/>
      <c r="X860"/>
      <c r="Y860"/>
      <c r="Z860"/>
      <c r="AA860"/>
    </row>
    <row r="861" spans="1:27" hidden="1" x14ac:dyDescent="0.2">
      <c r="A861" s="240"/>
      <c r="B861" s="318"/>
      <c r="C861" s="240"/>
      <c r="D861" s="241"/>
      <c r="E861" s="270"/>
      <c r="F861" s="271"/>
      <c r="G861" s="239"/>
      <c r="H861" s="239"/>
      <c r="I861" s="239"/>
      <c r="J861" s="239"/>
      <c r="K861" s="239"/>
      <c r="L861" s="239"/>
      <c r="M861" s="239"/>
      <c r="N861" s="239"/>
      <c r="O861" s="239"/>
      <c r="P861" s="239"/>
      <c r="Q861" s="239"/>
      <c r="R861" s="239"/>
      <c r="S861" s="239"/>
      <c r="T861" s="239"/>
      <c r="U861"/>
      <c r="V861"/>
      <c r="W861"/>
      <c r="X861"/>
      <c r="Y861"/>
      <c r="Z861"/>
      <c r="AA861"/>
    </row>
    <row r="862" spans="1:27" hidden="1" x14ac:dyDescent="0.2">
      <c r="A862" s="240"/>
      <c r="B862" s="318"/>
      <c r="C862" s="240"/>
      <c r="D862" s="241"/>
      <c r="E862" s="270"/>
      <c r="F862" s="271"/>
      <c r="G862" s="239"/>
      <c r="H862" s="239"/>
      <c r="I862" s="239"/>
      <c r="J862" s="239"/>
      <c r="K862" s="239"/>
      <c r="L862" s="239"/>
      <c r="M862" s="239"/>
      <c r="N862" s="239"/>
      <c r="O862" s="239"/>
      <c r="P862" s="239"/>
      <c r="Q862" s="239"/>
      <c r="R862" s="239"/>
      <c r="S862" s="239"/>
      <c r="T862" s="239"/>
      <c r="U862"/>
      <c r="V862"/>
      <c r="W862"/>
      <c r="X862"/>
      <c r="Y862"/>
      <c r="Z862"/>
      <c r="AA862"/>
    </row>
    <row r="863" spans="1:27" hidden="1" x14ac:dyDescent="0.2">
      <c r="A863" s="240"/>
      <c r="B863" s="318"/>
      <c r="C863" s="240"/>
      <c r="D863" s="241"/>
      <c r="E863" s="270"/>
      <c r="F863" s="271"/>
      <c r="G863" s="239"/>
      <c r="H863" s="239"/>
      <c r="I863" s="239"/>
      <c r="J863" s="239"/>
      <c r="K863" s="239"/>
      <c r="L863" s="239"/>
      <c r="M863" s="239"/>
      <c r="N863" s="239"/>
      <c r="O863" s="239"/>
      <c r="P863" s="239"/>
      <c r="Q863" s="239"/>
      <c r="R863" s="239"/>
      <c r="S863" s="239"/>
      <c r="T863" s="239"/>
      <c r="U863"/>
      <c r="V863"/>
      <c r="W863"/>
      <c r="X863"/>
      <c r="Y863"/>
      <c r="Z863"/>
      <c r="AA863"/>
    </row>
    <row r="864" spans="1:27" hidden="1" x14ac:dyDescent="0.2">
      <c r="A864" s="240"/>
      <c r="B864" s="318"/>
      <c r="C864" s="240"/>
      <c r="D864" s="241"/>
      <c r="E864" s="270"/>
      <c r="F864" s="271"/>
      <c r="G864" s="239"/>
      <c r="H864" s="239"/>
      <c r="I864" s="239"/>
      <c r="J864" s="239"/>
      <c r="K864" s="239"/>
      <c r="L864" s="239"/>
      <c r="M864" s="239"/>
      <c r="N864" s="239"/>
      <c r="O864" s="239"/>
      <c r="P864" s="239"/>
      <c r="Q864" s="239"/>
      <c r="R864" s="239"/>
      <c r="S864" s="239"/>
      <c r="T864" s="239"/>
      <c r="U864"/>
      <c r="V864"/>
      <c r="W864"/>
      <c r="X864"/>
      <c r="Y864"/>
      <c r="Z864"/>
      <c r="AA864"/>
    </row>
    <row r="865" spans="1:27" hidden="1" x14ac:dyDescent="0.2">
      <c r="A865" s="240"/>
      <c r="B865" s="318"/>
      <c r="C865" s="240"/>
      <c r="D865" s="241"/>
      <c r="E865" s="270"/>
      <c r="F865" s="271"/>
      <c r="G865" s="239"/>
      <c r="H865" s="239"/>
      <c r="I865" s="239"/>
      <c r="J865" s="239"/>
      <c r="K865" s="239"/>
      <c r="L865" s="239"/>
      <c r="M865" s="239"/>
      <c r="N865" s="239"/>
      <c r="O865" s="239"/>
      <c r="P865" s="239"/>
      <c r="Q865" s="239"/>
      <c r="R865" s="239"/>
      <c r="S865" s="239"/>
      <c r="T865" s="239"/>
      <c r="U865"/>
      <c r="V865"/>
      <c r="W865"/>
      <c r="X865"/>
      <c r="Y865"/>
      <c r="Z865"/>
      <c r="AA865"/>
    </row>
    <row r="866" spans="1:27" hidden="1" x14ac:dyDescent="0.2">
      <c r="A866" s="240"/>
      <c r="B866" s="318"/>
      <c r="C866" s="240"/>
      <c r="D866" s="241"/>
      <c r="E866" s="270"/>
      <c r="F866" s="271"/>
      <c r="G866" s="239"/>
      <c r="H866" s="239"/>
      <c r="I866" s="239"/>
      <c r="J866" s="239"/>
      <c r="K866" s="239"/>
      <c r="L866" s="239"/>
      <c r="M866" s="239"/>
      <c r="N866" s="239"/>
      <c r="O866" s="239"/>
      <c r="P866" s="239"/>
      <c r="Q866" s="239"/>
      <c r="R866" s="239"/>
      <c r="S866" s="239"/>
      <c r="T866" s="239"/>
      <c r="U866"/>
      <c r="V866"/>
      <c r="W866"/>
      <c r="X866"/>
      <c r="Y866"/>
      <c r="Z866"/>
      <c r="AA866"/>
    </row>
    <row r="867" spans="1:27" hidden="1" x14ac:dyDescent="0.2">
      <c r="A867" s="240"/>
      <c r="B867" s="318"/>
      <c r="C867" s="240"/>
      <c r="D867" s="241"/>
      <c r="E867" s="270"/>
      <c r="F867" s="271"/>
      <c r="G867" s="239"/>
      <c r="H867" s="239"/>
      <c r="I867" s="239"/>
      <c r="J867" s="239"/>
      <c r="K867" s="239"/>
      <c r="L867" s="239"/>
      <c r="M867" s="239"/>
      <c r="N867" s="239"/>
      <c r="O867" s="239"/>
      <c r="P867" s="239"/>
      <c r="Q867" s="239"/>
      <c r="R867" s="239"/>
      <c r="S867" s="239"/>
      <c r="T867" s="239"/>
      <c r="U867"/>
      <c r="V867"/>
      <c r="W867"/>
      <c r="X867"/>
      <c r="Y867"/>
      <c r="Z867"/>
      <c r="AA867"/>
    </row>
    <row r="868" spans="1:27" hidden="1" x14ac:dyDescent="0.2">
      <c r="A868" s="240"/>
      <c r="B868" s="318"/>
      <c r="C868" s="240"/>
      <c r="D868" s="241"/>
      <c r="E868" s="270"/>
      <c r="F868" s="271"/>
      <c r="G868" s="239"/>
      <c r="H868" s="239"/>
      <c r="I868" s="239"/>
      <c r="J868" s="239"/>
      <c r="K868" s="239"/>
      <c r="L868" s="239"/>
      <c r="M868" s="239"/>
      <c r="N868" s="239"/>
      <c r="O868" s="239"/>
      <c r="P868" s="239"/>
      <c r="Q868" s="239"/>
      <c r="R868" s="239"/>
      <c r="S868" s="239"/>
      <c r="T868" s="239"/>
      <c r="U868"/>
      <c r="V868"/>
      <c r="W868"/>
      <c r="X868"/>
      <c r="Y868"/>
      <c r="Z868"/>
      <c r="AA868"/>
    </row>
    <row r="869" spans="1:27" hidden="1" x14ac:dyDescent="0.2">
      <c r="A869" s="240"/>
      <c r="B869" s="318"/>
      <c r="C869" s="240"/>
      <c r="D869" s="241"/>
      <c r="E869" s="270"/>
      <c r="F869" s="271"/>
      <c r="G869" s="239"/>
      <c r="H869" s="239"/>
      <c r="I869" s="239"/>
      <c r="J869" s="239"/>
      <c r="K869" s="239"/>
      <c r="L869" s="239"/>
      <c r="M869" s="239"/>
      <c r="N869" s="239"/>
      <c r="O869" s="239"/>
      <c r="P869" s="239"/>
      <c r="Q869" s="239"/>
      <c r="R869" s="239"/>
      <c r="S869" s="239"/>
      <c r="T869" s="239"/>
      <c r="U869"/>
      <c r="V869"/>
      <c r="W869"/>
      <c r="X869"/>
      <c r="Y869"/>
      <c r="Z869"/>
      <c r="AA869"/>
    </row>
    <row r="870" spans="1:27" hidden="1" x14ac:dyDescent="0.2">
      <c r="A870" s="240"/>
      <c r="B870" s="318"/>
      <c r="C870" s="240"/>
      <c r="D870" s="241"/>
      <c r="E870" s="270"/>
      <c r="F870" s="271"/>
      <c r="G870" s="239"/>
      <c r="H870" s="239"/>
      <c r="I870" s="239"/>
      <c r="J870" s="239"/>
      <c r="K870" s="239"/>
      <c r="L870" s="239"/>
      <c r="M870" s="239"/>
      <c r="N870" s="239"/>
      <c r="O870" s="239"/>
      <c r="P870" s="239"/>
      <c r="Q870" s="239"/>
      <c r="R870" s="239"/>
      <c r="S870" s="239"/>
      <c r="T870" s="239"/>
      <c r="U870"/>
      <c r="V870"/>
      <c r="W870"/>
      <c r="X870"/>
      <c r="Y870"/>
      <c r="Z870"/>
      <c r="AA870"/>
    </row>
    <row r="871" spans="1:27" hidden="1" x14ac:dyDescent="0.2">
      <c r="A871" s="240"/>
      <c r="B871" s="318"/>
      <c r="C871" s="240"/>
      <c r="D871" s="241"/>
      <c r="E871" s="270"/>
      <c r="F871" s="271"/>
      <c r="G871" s="239"/>
      <c r="H871" s="239"/>
      <c r="I871" s="239"/>
      <c r="J871" s="239"/>
      <c r="K871" s="239"/>
      <c r="L871" s="239"/>
      <c r="M871" s="239"/>
      <c r="N871" s="239"/>
      <c r="O871" s="239"/>
      <c r="P871" s="239"/>
      <c r="Q871" s="239"/>
      <c r="R871" s="239"/>
      <c r="S871" s="239"/>
      <c r="T871" s="239"/>
      <c r="U871"/>
      <c r="V871"/>
      <c r="W871"/>
      <c r="X871"/>
      <c r="Y871"/>
      <c r="Z871"/>
      <c r="AA871"/>
    </row>
    <row r="872" spans="1:27" hidden="1" x14ac:dyDescent="0.2">
      <c r="A872" s="240"/>
      <c r="B872" s="318"/>
      <c r="C872" s="240"/>
      <c r="D872" s="241"/>
      <c r="E872" s="270"/>
      <c r="F872" s="271"/>
      <c r="G872" s="239"/>
      <c r="H872" s="239"/>
      <c r="I872" s="239"/>
      <c r="J872" s="239"/>
      <c r="K872" s="239"/>
      <c r="L872" s="239"/>
      <c r="M872" s="239"/>
      <c r="N872" s="239"/>
      <c r="O872" s="239"/>
      <c r="P872" s="239"/>
      <c r="Q872" s="239"/>
      <c r="R872" s="239"/>
      <c r="S872" s="239"/>
      <c r="T872" s="239"/>
      <c r="U872"/>
      <c r="V872"/>
      <c r="W872"/>
      <c r="X872"/>
      <c r="Y872"/>
      <c r="Z872"/>
      <c r="AA872"/>
    </row>
    <row r="873" spans="1:27" hidden="1" x14ac:dyDescent="0.2">
      <c r="A873" s="240"/>
      <c r="B873" s="318"/>
      <c r="C873" s="240"/>
      <c r="D873" s="241"/>
      <c r="E873" s="270"/>
      <c r="F873" s="271"/>
      <c r="G873" s="239"/>
      <c r="H873" s="239"/>
      <c r="I873" s="239"/>
      <c r="J873" s="239"/>
      <c r="K873" s="239"/>
      <c r="L873" s="239"/>
      <c r="M873" s="239"/>
      <c r="N873" s="239"/>
      <c r="O873" s="239"/>
      <c r="P873" s="239"/>
      <c r="Q873" s="239"/>
      <c r="R873" s="239"/>
      <c r="S873" s="239"/>
      <c r="T873" s="239"/>
      <c r="U873"/>
      <c r="V873"/>
      <c r="W873"/>
      <c r="X873"/>
      <c r="Y873"/>
      <c r="Z873"/>
      <c r="AA873"/>
    </row>
    <row r="874" spans="1:27" hidden="1" x14ac:dyDescent="0.2">
      <c r="A874" s="240"/>
      <c r="B874" s="318"/>
      <c r="C874" s="240"/>
      <c r="D874" s="241"/>
      <c r="E874" s="270"/>
      <c r="F874" s="271"/>
      <c r="G874" s="239"/>
      <c r="H874" s="239"/>
      <c r="I874" s="239"/>
      <c r="J874" s="239"/>
      <c r="K874" s="239"/>
      <c r="L874" s="239"/>
      <c r="M874" s="239"/>
      <c r="N874" s="239"/>
      <c r="O874" s="239"/>
      <c r="P874" s="239"/>
      <c r="Q874" s="239"/>
      <c r="R874" s="239"/>
      <c r="S874" s="239"/>
      <c r="T874" s="239"/>
      <c r="U874"/>
      <c r="V874"/>
      <c r="W874"/>
      <c r="X874"/>
      <c r="Y874"/>
      <c r="Z874"/>
      <c r="AA874"/>
    </row>
    <row r="875" spans="1:27" hidden="1" x14ac:dyDescent="0.2">
      <c r="A875" s="240"/>
      <c r="B875" s="318"/>
      <c r="C875" s="240"/>
      <c r="D875" s="241"/>
      <c r="E875" s="270"/>
      <c r="F875" s="271"/>
      <c r="G875" s="239"/>
      <c r="H875" s="239"/>
      <c r="I875" s="239"/>
      <c r="J875" s="239"/>
      <c r="K875" s="239"/>
      <c r="L875" s="239"/>
      <c r="M875" s="239"/>
      <c r="N875" s="239"/>
      <c r="O875" s="239"/>
      <c r="P875" s="239"/>
      <c r="Q875" s="239"/>
      <c r="R875" s="239"/>
      <c r="S875" s="239"/>
      <c r="T875" s="239"/>
      <c r="U875"/>
      <c r="V875"/>
      <c r="W875"/>
      <c r="X875"/>
      <c r="Y875"/>
      <c r="Z875"/>
      <c r="AA875"/>
    </row>
    <row r="876" spans="1:27" hidden="1" x14ac:dyDescent="0.2">
      <c r="A876" s="240"/>
      <c r="B876" s="318"/>
      <c r="C876" s="240"/>
      <c r="D876" s="241"/>
      <c r="E876" s="270"/>
      <c r="F876" s="271"/>
      <c r="G876" s="239"/>
      <c r="H876" s="239"/>
      <c r="I876" s="239"/>
      <c r="J876" s="239"/>
      <c r="K876" s="239"/>
      <c r="L876" s="239"/>
      <c r="M876" s="239"/>
      <c r="N876" s="239"/>
      <c r="O876" s="239"/>
      <c r="P876" s="239"/>
      <c r="Q876" s="239"/>
      <c r="R876" s="239"/>
      <c r="S876" s="239"/>
      <c r="T876" s="239"/>
      <c r="U876"/>
      <c r="V876"/>
      <c r="W876"/>
      <c r="X876"/>
      <c r="Y876"/>
      <c r="Z876"/>
      <c r="AA876"/>
    </row>
    <row r="877" spans="1:27" hidden="1" x14ac:dyDescent="0.2">
      <c r="A877" s="240"/>
      <c r="B877" s="318"/>
      <c r="C877" s="240"/>
      <c r="D877" s="241"/>
      <c r="E877" s="270"/>
      <c r="F877" s="271"/>
      <c r="G877" s="239"/>
      <c r="H877" s="239"/>
      <c r="I877" s="239"/>
      <c r="J877" s="239"/>
      <c r="K877" s="239"/>
      <c r="L877" s="239"/>
      <c r="M877" s="239"/>
      <c r="N877" s="239"/>
      <c r="O877" s="239"/>
      <c r="P877" s="239"/>
      <c r="Q877" s="239"/>
      <c r="R877" s="239"/>
      <c r="S877" s="239"/>
      <c r="T877" s="239"/>
      <c r="U877"/>
      <c r="V877"/>
      <c r="W877"/>
      <c r="X877"/>
      <c r="Y877"/>
      <c r="Z877"/>
      <c r="AA877"/>
    </row>
    <row r="878" spans="1:27" hidden="1" x14ac:dyDescent="0.2">
      <c r="A878" s="240"/>
      <c r="B878" s="318"/>
      <c r="C878" s="240"/>
      <c r="D878" s="241"/>
      <c r="E878" s="270"/>
      <c r="F878" s="271"/>
      <c r="G878" s="239"/>
      <c r="H878" s="239"/>
      <c r="I878" s="239"/>
      <c r="J878" s="239"/>
      <c r="K878" s="239"/>
      <c r="L878" s="239"/>
      <c r="M878" s="239"/>
      <c r="N878" s="239"/>
      <c r="O878" s="239"/>
      <c r="P878" s="239"/>
      <c r="Q878" s="239"/>
      <c r="R878" s="239"/>
      <c r="S878" s="239"/>
      <c r="T878" s="239"/>
      <c r="U878"/>
      <c r="V878"/>
      <c r="W878"/>
      <c r="X878"/>
      <c r="Y878"/>
      <c r="Z878"/>
      <c r="AA878"/>
    </row>
    <row r="879" spans="1:27" hidden="1" x14ac:dyDescent="0.2">
      <c r="A879" s="240"/>
      <c r="B879" s="318"/>
      <c r="C879" s="240"/>
      <c r="D879" s="241"/>
      <c r="E879" s="270"/>
      <c r="F879" s="271"/>
      <c r="G879" s="239"/>
      <c r="H879" s="239"/>
      <c r="I879" s="239"/>
      <c r="J879" s="239"/>
      <c r="K879" s="239"/>
      <c r="L879" s="239"/>
      <c r="M879" s="239"/>
      <c r="N879" s="239"/>
      <c r="O879" s="239"/>
      <c r="P879" s="239"/>
      <c r="Q879" s="239"/>
      <c r="R879" s="239"/>
      <c r="S879" s="239"/>
      <c r="T879" s="239"/>
      <c r="U879"/>
      <c r="V879"/>
      <c r="W879"/>
      <c r="X879"/>
      <c r="Y879"/>
      <c r="Z879"/>
      <c r="AA879"/>
    </row>
    <row r="880" spans="1:27" hidden="1" x14ac:dyDescent="0.2">
      <c r="A880" s="240"/>
      <c r="B880" s="318"/>
      <c r="C880" s="240"/>
      <c r="D880" s="241"/>
      <c r="E880" s="270"/>
      <c r="F880" s="271"/>
      <c r="G880" s="239"/>
      <c r="H880" s="239"/>
      <c r="I880" s="239"/>
      <c r="J880" s="239"/>
      <c r="K880" s="239"/>
      <c r="L880" s="239"/>
      <c r="M880" s="239"/>
      <c r="N880" s="239"/>
      <c r="O880" s="239"/>
      <c r="P880" s="239"/>
      <c r="Q880" s="239"/>
      <c r="R880" s="239"/>
      <c r="S880" s="239"/>
      <c r="T880" s="239"/>
      <c r="U880"/>
      <c r="V880"/>
      <c r="W880"/>
      <c r="X880"/>
      <c r="Y880"/>
      <c r="Z880"/>
      <c r="AA880"/>
    </row>
    <row r="881" spans="1:27" hidden="1" x14ac:dyDescent="0.2">
      <c r="A881" s="240"/>
      <c r="B881" s="318"/>
      <c r="C881" s="240"/>
      <c r="D881" s="241"/>
      <c r="E881" s="270"/>
      <c r="F881" s="271"/>
      <c r="G881" s="239"/>
      <c r="H881" s="239"/>
      <c r="I881" s="239"/>
      <c r="J881" s="239"/>
      <c r="K881" s="239"/>
      <c r="L881" s="239"/>
      <c r="M881" s="239"/>
      <c r="N881" s="239"/>
      <c r="O881" s="239"/>
      <c r="P881" s="239"/>
      <c r="Q881" s="239"/>
      <c r="R881" s="239"/>
      <c r="S881" s="239"/>
      <c r="T881" s="239"/>
      <c r="U881"/>
      <c r="V881"/>
      <c r="W881"/>
      <c r="X881"/>
      <c r="Y881"/>
      <c r="Z881"/>
      <c r="AA881"/>
    </row>
    <row r="882" spans="1:27" hidden="1" x14ac:dyDescent="0.2">
      <c r="A882" s="240"/>
      <c r="B882" s="318"/>
      <c r="C882" s="240"/>
      <c r="D882" s="241"/>
      <c r="E882" s="270"/>
      <c r="F882" s="271"/>
      <c r="G882" s="239"/>
      <c r="H882" s="239"/>
      <c r="I882" s="239"/>
      <c r="J882" s="239"/>
      <c r="K882" s="239"/>
      <c r="L882" s="239"/>
      <c r="M882" s="239"/>
      <c r="N882" s="239"/>
      <c r="O882" s="239"/>
      <c r="P882" s="239"/>
      <c r="Q882" s="239"/>
      <c r="R882" s="239"/>
      <c r="S882" s="239"/>
      <c r="T882" s="239"/>
      <c r="U882"/>
      <c r="V882"/>
      <c r="W882"/>
      <c r="X882"/>
      <c r="Y882"/>
      <c r="Z882"/>
      <c r="AA882"/>
    </row>
    <row r="883" spans="1:27" hidden="1" x14ac:dyDescent="0.2">
      <c r="A883" s="240"/>
      <c r="B883" s="318"/>
      <c r="C883" s="240"/>
      <c r="D883" s="241"/>
      <c r="E883" s="270"/>
      <c r="F883" s="271"/>
      <c r="G883" s="239"/>
      <c r="H883" s="239"/>
      <c r="I883" s="239"/>
      <c r="J883" s="239"/>
      <c r="K883" s="239"/>
      <c r="L883" s="239"/>
      <c r="M883" s="239"/>
      <c r="N883" s="239"/>
      <c r="O883" s="239"/>
      <c r="P883" s="239"/>
      <c r="Q883" s="239"/>
      <c r="R883" s="239"/>
      <c r="S883" s="239"/>
      <c r="T883" s="239"/>
      <c r="U883"/>
      <c r="V883"/>
      <c r="W883"/>
      <c r="X883"/>
      <c r="Y883"/>
      <c r="Z883"/>
      <c r="AA883"/>
    </row>
    <row r="884" spans="1:27" hidden="1" x14ac:dyDescent="0.2">
      <c r="A884" s="240"/>
      <c r="B884" s="318"/>
      <c r="C884" s="240"/>
      <c r="D884" s="241"/>
      <c r="E884" s="270"/>
      <c r="F884" s="271"/>
      <c r="G884" s="239"/>
      <c r="H884" s="239"/>
      <c r="I884" s="239"/>
      <c r="J884" s="239"/>
      <c r="K884" s="239"/>
      <c r="L884" s="239"/>
      <c r="M884" s="239"/>
      <c r="N884" s="239"/>
      <c r="O884" s="239"/>
      <c r="P884" s="239"/>
      <c r="Q884" s="239"/>
      <c r="R884" s="239"/>
      <c r="S884" s="239"/>
      <c r="T884" s="239"/>
      <c r="U884"/>
      <c r="V884"/>
      <c r="W884"/>
      <c r="X884"/>
      <c r="Y884"/>
      <c r="Z884"/>
      <c r="AA884"/>
    </row>
    <row r="885" spans="1:27" hidden="1" x14ac:dyDescent="0.2">
      <c r="A885" s="240"/>
      <c r="B885" s="318"/>
      <c r="C885" s="240"/>
      <c r="D885" s="241"/>
      <c r="E885" s="270"/>
      <c r="F885" s="271"/>
      <c r="G885" s="239"/>
      <c r="H885" s="239"/>
      <c r="I885" s="239"/>
      <c r="J885" s="239"/>
      <c r="K885" s="239"/>
      <c r="L885" s="239"/>
      <c r="M885" s="239"/>
      <c r="N885" s="239"/>
      <c r="O885" s="239"/>
      <c r="P885" s="239"/>
      <c r="Q885" s="239"/>
      <c r="R885" s="239"/>
      <c r="S885" s="239"/>
      <c r="T885" s="239"/>
      <c r="U885"/>
      <c r="V885"/>
      <c r="W885"/>
      <c r="X885"/>
      <c r="Y885"/>
      <c r="Z885"/>
      <c r="AA885"/>
    </row>
    <row r="886" spans="1:27" hidden="1" x14ac:dyDescent="0.2">
      <c r="A886" s="240"/>
      <c r="B886" s="318"/>
      <c r="C886" s="240"/>
      <c r="D886" s="241"/>
      <c r="E886" s="270"/>
      <c r="F886" s="271"/>
      <c r="G886" s="239"/>
      <c r="H886" s="239"/>
      <c r="I886" s="239"/>
      <c r="J886" s="239"/>
      <c r="K886" s="239"/>
      <c r="L886" s="239"/>
      <c r="M886" s="239"/>
      <c r="N886" s="239"/>
      <c r="O886" s="239"/>
      <c r="P886" s="239"/>
      <c r="Q886" s="239"/>
      <c r="R886" s="239"/>
      <c r="S886" s="239"/>
      <c r="T886" s="239"/>
      <c r="U886"/>
      <c r="V886"/>
      <c r="W886"/>
      <c r="X886"/>
      <c r="Y886"/>
      <c r="Z886"/>
      <c r="AA886"/>
    </row>
    <row r="887" spans="1:27" hidden="1" x14ac:dyDescent="0.2">
      <c r="A887" s="240"/>
      <c r="B887" s="318"/>
      <c r="C887" s="240"/>
      <c r="D887" s="241"/>
      <c r="E887" s="270"/>
      <c r="F887" s="271"/>
      <c r="G887" s="239"/>
      <c r="H887" s="239"/>
      <c r="I887" s="239"/>
      <c r="J887" s="239"/>
      <c r="K887" s="239"/>
      <c r="L887" s="239"/>
      <c r="M887" s="239"/>
      <c r="N887" s="239"/>
      <c r="O887" s="239"/>
      <c r="P887" s="239"/>
      <c r="Q887" s="239"/>
      <c r="R887" s="239"/>
      <c r="S887" s="239"/>
      <c r="T887" s="239"/>
      <c r="U887"/>
      <c r="V887"/>
      <c r="W887"/>
      <c r="X887"/>
      <c r="Y887"/>
      <c r="Z887"/>
      <c r="AA887"/>
    </row>
    <row r="888" spans="1:27" hidden="1" x14ac:dyDescent="0.2">
      <c r="A888" s="240"/>
      <c r="B888" s="318"/>
      <c r="C888" s="240"/>
      <c r="D888" s="241"/>
      <c r="E888" s="270"/>
      <c r="F888" s="271"/>
      <c r="G888" s="239"/>
      <c r="H888" s="239"/>
      <c r="I888" s="239"/>
      <c r="J888" s="239"/>
      <c r="K888" s="239"/>
      <c r="L888" s="239"/>
      <c r="M888" s="239"/>
      <c r="N888" s="239"/>
      <c r="O888" s="239"/>
      <c r="P888" s="239"/>
      <c r="Q888" s="239"/>
      <c r="R888" s="239"/>
      <c r="S888" s="239"/>
      <c r="T888" s="239"/>
      <c r="U888"/>
      <c r="V888"/>
      <c r="W888"/>
      <c r="X888"/>
      <c r="Y888"/>
      <c r="Z888"/>
      <c r="AA888"/>
    </row>
    <row r="889" spans="1:27" hidden="1" x14ac:dyDescent="0.2">
      <c r="A889" s="240"/>
      <c r="B889" s="318"/>
      <c r="C889" s="240"/>
      <c r="D889" s="241"/>
      <c r="E889" s="270"/>
      <c r="F889" s="271"/>
      <c r="G889" s="239"/>
      <c r="H889" s="239"/>
      <c r="I889" s="239"/>
      <c r="J889" s="239"/>
      <c r="K889" s="239"/>
      <c r="L889" s="239"/>
      <c r="M889" s="239"/>
      <c r="N889" s="239"/>
      <c r="O889" s="239"/>
      <c r="P889" s="239"/>
      <c r="Q889" s="239"/>
      <c r="R889" s="239"/>
      <c r="S889" s="239"/>
      <c r="T889" s="239"/>
      <c r="U889"/>
      <c r="V889"/>
      <c r="W889"/>
      <c r="X889"/>
      <c r="Y889"/>
      <c r="Z889"/>
      <c r="AA889"/>
    </row>
    <row r="890" spans="1:27" hidden="1" x14ac:dyDescent="0.2">
      <c r="A890" s="240"/>
      <c r="B890" s="318"/>
      <c r="C890" s="240"/>
      <c r="D890" s="241"/>
      <c r="E890" s="270"/>
      <c r="F890" s="271"/>
      <c r="G890" s="239"/>
      <c r="H890" s="239"/>
      <c r="I890" s="239"/>
      <c r="J890" s="239"/>
      <c r="K890" s="239"/>
      <c r="L890" s="239"/>
      <c r="M890" s="239"/>
      <c r="N890" s="239"/>
      <c r="O890" s="239"/>
      <c r="P890" s="239"/>
      <c r="Q890" s="239"/>
      <c r="R890" s="239"/>
      <c r="S890" s="239"/>
      <c r="T890" s="239"/>
      <c r="U890"/>
      <c r="V890"/>
      <c r="W890"/>
      <c r="X890"/>
      <c r="Y890"/>
      <c r="Z890"/>
      <c r="AA890"/>
    </row>
    <row r="891" spans="1:27" hidden="1" x14ac:dyDescent="0.2">
      <c r="A891" s="240"/>
      <c r="B891" s="318"/>
      <c r="C891" s="240"/>
      <c r="D891" s="241"/>
      <c r="E891" s="270"/>
      <c r="F891" s="271"/>
      <c r="G891" s="239"/>
      <c r="H891" s="239"/>
      <c r="I891" s="239"/>
      <c r="J891" s="239"/>
      <c r="K891" s="239"/>
      <c r="L891" s="239"/>
      <c r="M891" s="239"/>
      <c r="N891" s="239"/>
      <c r="O891" s="239"/>
      <c r="P891" s="239"/>
      <c r="Q891" s="239"/>
      <c r="R891" s="239"/>
      <c r="S891" s="239"/>
      <c r="T891" s="239"/>
      <c r="U891"/>
      <c r="V891"/>
      <c r="W891"/>
      <c r="X891"/>
      <c r="Y891"/>
      <c r="Z891"/>
      <c r="AA891"/>
    </row>
    <row r="892" spans="1:27" hidden="1" x14ac:dyDescent="0.2">
      <c r="A892" s="240"/>
      <c r="B892" s="318"/>
      <c r="C892" s="240"/>
      <c r="D892" s="241"/>
      <c r="E892" s="270"/>
      <c r="F892" s="271"/>
      <c r="G892" s="239"/>
      <c r="H892" s="239"/>
      <c r="I892" s="239"/>
      <c r="J892" s="239"/>
      <c r="K892" s="239"/>
      <c r="L892" s="239"/>
      <c r="M892" s="239"/>
      <c r="N892" s="239"/>
      <c r="O892" s="239"/>
      <c r="P892" s="239"/>
      <c r="Q892" s="239"/>
      <c r="R892" s="239"/>
      <c r="S892" s="239"/>
      <c r="T892" s="239"/>
      <c r="U892"/>
      <c r="V892"/>
      <c r="W892"/>
      <c r="X892"/>
      <c r="Y892"/>
      <c r="Z892"/>
      <c r="AA892"/>
    </row>
    <row r="893" spans="1:27" hidden="1" x14ac:dyDescent="0.2">
      <c r="A893" s="240"/>
      <c r="B893" s="318"/>
      <c r="C893" s="240"/>
      <c r="D893" s="241"/>
      <c r="E893" s="270"/>
      <c r="F893" s="271"/>
      <c r="G893" s="239"/>
      <c r="H893" s="239"/>
      <c r="I893" s="239"/>
      <c r="J893" s="239"/>
      <c r="K893" s="239"/>
      <c r="L893" s="239"/>
      <c r="M893" s="239"/>
      <c r="N893" s="239"/>
      <c r="O893" s="239"/>
      <c r="P893" s="239"/>
      <c r="Q893" s="239"/>
      <c r="R893" s="239"/>
      <c r="S893" s="239"/>
      <c r="T893" s="239"/>
      <c r="U893"/>
      <c r="V893"/>
      <c r="W893"/>
      <c r="X893"/>
      <c r="Y893"/>
      <c r="Z893"/>
      <c r="AA893"/>
    </row>
    <row r="894" spans="1:27" hidden="1" x14ac:dyDescent="0.2">
      <c r="A894" s="240"/>
      <c r="B894" s="318"/>
      <c r="C894" s="240"/>
      <c r="D894" s="241"/>
      <c r="E894" s="270"/>
      <c r="F894" s="271"/>
      <c r="G894" s="239"/>
      <c r="H894" s="239"/>
      <c r="I894" s="239"/>
      <c r="J894" s="239"/>
      <c r="K894" s="239"/>
      <c r="L894" s="239"/>
      <c r="M894" s="239"/>
      <c r="N894" s="239"/>
      <c r="O894" s="239"/>
      <c r="P894" s="239"/>
      <c r="Q894" s="239"/>
      <c r="R894" s="239"/>
      <c r="S894" s="239"/>
      <c r="T894" s="239"/>
      <c r="U894"/>
      <c r="V894"/>
      <c r="W894"/>
      <c r="X894"/>
      <c r="Y894"/>
      <c r="Z894"/>
      <c r="AA894"/>
    </row>
    <row r="895" spans="1:27" hidden="1" x14ac:dyDescent="0.2">
      <c r="A895" s="240"/>
      <c r="B895" s="318"/>
      <c r="C895" s="240"/>
      <c r="D895" s="241"/>
      <c r="E895" s="270"/>
      <c r="F895" s="271"/>
      <c r="G895" s="239"/>
      <c r="H895" s="239"/>
      <c r="I895" s="239"/>
      <c r="J895" s="239"/>
      <c r="K895" s="239"/>
      <c r="L895" s="239"/>
      <c r="M895" s="239"/>
      <c r="N895" s="239"/>
      <c r="O895" s="239"/>
      <c r="P895" s="239"/>
      <c r="Q895" s="239"/>
      <c r="R895" s="239"/>
      <c r="S895" s="239"/>
      <c r="T895" s="239"/>
      <c r="U895"/>
      <c r="V895"/>
      <c r="W895"/>
      <c r="X895"/>
      <c r="Y895"/>
      <c r="Z895"/>
      <c r="AA895"/>
    </row>
    <row r="896" spans="1:27" hidden="1" x14ac:dyDescent="0.2">
      <c r="A896" s="240"/>
      <c r="B896" s="318"/>
      <c r="C896" s="240"/>
      <c r="D896" s="241"/>
      <c r="E896" s="270"/>
      <c r="F896" s="271"/>
      <c r="G896" s="239"/>
      <c r="H896" s="239"/>
      <c r="I896" s="239"/>
      <c r="J896" s="239"/>
      <c r="K896" s="239"/>
      <c r="L896" s="239"/>
      <c r="M896" s="239"/>
      <c r="N896" s="239"/>
      <c r="O896" s="239"/>
      <c r="P896" s="239"/>
      <c r="Q896" s="239"/>
      <c r="R896" s="239"/>
      <c r="S896" s="239"/>
      <c r="T896" s="239"/>
      <c r="U896"/>
      <c r="V896"/>
      <c r="W896"/>
      <c r="X896"/>
      <c r="Y896"/>
      <c r="Z896"/>
      <c r="AA896"/>
    </row>
    <row r="897" spans="1:27" hidden="1" x14ac:dyDescent="0.2">
      <c r="A897" s="240"/>
      <c r="B897" s="318"/>
      <c r="C897" s="240"/>
      <c r="D897" s="241"/>
      <c r="E897" s="270"/>
      <c r="F897" s="271"/>
      <c r="G897" s="239"/>
      <c r="H897" s="239"/>
      <c r="I897" s="239"/>
      <c r="J897" s="239"/>
      <c r="K897" s="239"/>
      <c r="L897" s="239"/>
      <c r="M897" s="239"/>
      <c r="N897" s="239"/>
      <c r="O897" s="239"/>
      <c r="P897" s="239"/>
      <c r="Q897" s="239"/>
      <c r="R897" s="239"/>
      <c r="S897" s="239"/>
      <c r="T897" s="239"/>
      <c r="U897"/>
      <c r="V897"/>
      <c r="W897"/>
      <c r="X897"/>
      <c r="Y897"/>
      <c r="Z897"/>
      <c r="AA897"/>
    </row>
    <row r="898" spans="1:27" hidden="1" x14ac:dyDescent="0.2">
      <c r="A898" s="240"/>
      <c r="B898" s="318"/>
      <c r="C898" s="240"/>
      <c r="D898" s="241"/>
      <c r="E898" s="270"/>
      <c r="F898" s="271"/>
      <c r="G898" s="239"/>
      <c r="H898" s="239"/>
      <c r="I898" s="239"/>
      <c r="J898" s="239"/>
      <c r="K898" s="239"/>
      <c r="L898" s="239"/>
      <c r="M898" s="239"/>
      <c r="N898" s="239"/>
      <c r="O898" s="239"/>
      <c r="P898" s="239"/>
      <c r="Q898" s="239"/>
      <c r="R898" s="239"/>
      <c r="S898" s="239"/>
      <c r="T898" s="239"/>
      <c r="U898"/>
      <c r="V898"/>
      <c r="W898"/>
      <c r="X898"/>
      <c r="Y898"/>
      <c r="Z898"/>
      <c r="AA898"/>
    </row>
    <row r="899" spans="1:27" hidden="1" x14ac:dyDescent="0.2">
      <c r="A899" s="240"/>
      <c r="B899" s="318"/>
      <c r="C899" s="240"/>
      <c r="D899" s="241"/>
      <c r="E899" s="270"/>
      <c r="F899" s="271"/>
      <c r="G899" s="239"/>
      <c r="H899" s="239"/>
      <c r="I899" s="239"/>
      <c r="J899" s="239"/>
      <c r="K899" s="239"/>
      <c r="L899" s="239"/>
      <c r="M899" s="239"/>
      <c r="N899" s="239"/>
      <c r="O899" s="239"/>
      <c r="P899" s="239"/>
      <c r="Q899" s="239"/>
      <c r="R899" s="239"/>
      <c r="S899" s="239"/>
      <c r="T899" s="239"/>
      <c r="U899"/>
      <c r="V899"/>
      <c r="W899"/>
      <c r="X899"/>
      <c r="Y899"/>
      <c r="Z899"/>
      <c r="AA899"/>
    </row>
    <row r="900" spans="1:27" hidden="1" x14ac:dyDescent="0.2">
      <c r="A900" s="240"/>
      <c r="B900" s="318"/>
      <c r="C900" s="240"/>
      <c r="D900" s="241"/>
      <c r="E900" s="270"/>
      <c r="F900" s="271"/>
      <c r="G900" s="239"/>
      <c r="H900" s="239"/>
      <c r="I900" s="239"/>
      <c r="J900" s="239"/>
      <c r="K900" s="239"/>
      <c r="L900" s="239"/>
      <c r="M900" s="239"/>
      <c r="N900" s="239"/>
      <c r="O900" s="239"/>
      <c r="P900" s="239"/>
      <c r="Q900" s="239"/>
      <c r="R900" s="239"/>
      <c r="S900" s="239"/>
      <c r="T900" s="239"/>
      <c r="U900"/>
      <c r="V900"/>
      <c r="W900"/>
      <c r="X900"/>
      <c r="Y900"/>
      <c r="Z900"/>
      <c r="AA900"/>
    </row>
    <row r="901" spans="1:27" hidden="1" x14ac:dyDescent="0.2">
      <c r="A901" s="240"/>
      <c r="B901" s="318"/>
      <c r="C901" s="240"/>
      <c r="D901" s="241"/>
      <c r="E901" s="270"/>
      <c r="F901" s="271"/>
      <c r="G901" s="239"/>
      <c r="H901" s="239"/>
      <c r="I901" s="239"/>
      <c r="J901" s="239"/>
      <c r="K901" s="239"/>
      <c r="L901" s="239"/>
      <c r="M901" s="239"/>
      <c r="N901" s="239"/>
      <c r="O901" s="239"/>
      <c r="P901" s="239"/>
      <c r="Q901" s="239"/>
      <c r="R901" s="239"/>
      <c r="S901" s="239"/>
      <c r="T901" s="239"/>
      <c r="U901"/>
      <c r="V901"/>
      <c r="W901"/>
      <c r="X901"/>
      <c r="Y901"/>
      <c r="Z901"/>
      <c r="AA901"/>
    </row>
    <row r="902" spans="1:27" hidden="1" x14ac:dyDescent="0.2">
      <c r="A902" s="240"/>
      <c r="B902" s="318"/>
      <c r="C902" s="240"/>
      <c r="D902" s="241"/>
      <c r="E902" s="270"/>
      <c r="F902" s="271"/>
      <c r="G902" s="239"/>
      <c r="H902" s="239"/>
      <c r="I902" s="239"/>
      <c r="J902" s="239"/>
      <c r="K902" s="239"/>
      <c r="L902" s="239"/>
      <c r="M902" s="239"/>
      <c r="N902" s="239"/>
      <c r="O902" s="239"/>
      <c r="P902" s="239"/>
      <c r="Q902" s="239"/>
      <c r="R902" s="239"/>
      <c r="S902" s="239"/>
      <c r="T902" s="239"/>
      <c r="U902"/>
      <c r="V902"/>
      <c r="W902"/>
      <c r="X902"/>
      <c r="Y902"/>
      <c r="Z902"/>
      <c r="AA902"/>
    </row>
    <row r="903" spans="1:27" hidden="1" x14ac:dyDescent="0.2">
      <c r="A903" s="240"/>
      <c r="B903" s="318"/>
      <c r="C903" s="240"/>
      <c r="D903" s="241"/>
      <c r="E903" s="270"/>
      <c r="F903" s="271"/>
      <c r="G903" s="239"/>
      <c r="H903" s="239"/>
      <c r="I903" s="239"/>
      <c r="J903" s="239"/>
      <c r="K903" s="239"/>
      <c r="L903" s="239"/>
      <c r="M903" s="239"/>
      <c r="N903" s="239"/>
      <c r="O903" s="239"/>
      <c r="P903" s="239"/>
      <c r="Q903" s="239"/>
      <c r="R903" s="239"/>
      <c r="S903" s="239"/>
      <c r="T903" s="239"/>
      <c r="U903"/>
      <c r="V903"/>
      <c r="W903"/>
      <c r="X903"/>
      <c r="Y903"/>
      <c r="Z903"/>
      <c r="AA903"/>
    </row>
    <row r="904" spans="1:27" hidden="1" x14ac:dyDescent="0.2">
      <c r="A904" s="240"/>
      <c r="B904" s="318"/>
      <c r="C904" s="240"/>
      <c r="D904" s="241"/>
      <c r="E904" s="270"/>
      <c r="F904" s="271"/>
      <c r="G904" s="239"/>
      <c r="H904" s="239"/>
      <c r="I904" s="239"/>
      <c r="J904" s="239"/>
      <c r="K904" s="239"/>
      <c r="L904" s="239"/>
      <c r="M904" s="239"/>
      <c r="N904" s="239"/>
      <c r="O904" s="239"/>
      <c r="P904" s="239"/>
      <c r="Q904" s="239"/>
      <c r="R904" s="239"/>
      <c r="S904" s="239"/>
      <c r="T904" s="239"/>
      <c r="U904"/>
      <c r="V904"/>
      <c r="W904"/>
      <c r="X904"/>
      <c r="Y904"/>
      <c r="Z904"/>
      <c r="AA904"/>
    </row>
    <row r="905" spans="1:27" hidden="1" x14ac:dyDescent="0.2">
      <c r="A905" s="240"/>
      <c r="B905" s="318"/>
      <c r="C905" s="240"/>
      <c r="D905" s="241"/>
      <c r="E905" s="270"/>
      <c r="F905" s="271"/>
      <c r="G905" s="239"/>
      <c r="H905" s="239"/>
      <c r="I905" s="239"/>
      <c r="J905" s="239"/>
      <c r="K905" s="239"/>
      <c r="L905" s="239"/>
      <c r="M905" s="239"/>
      <c r="N905" s="239"/>
      <c r="O905" s="239"/>
      <c r="P905" s="239"/>
      <c r="Q905" s="239"/>
      <c r="R905" s="239"/>
      <c r="S905" s="239"/>
      <c r="T905" s="239"/>
      <c r="U905"/>
      <c r="V905"/>
      <c r="W905"/>
      <c r="X905"/>
      <c r="Y905"/>
      <c r="Z905"/>
      <c r="AA905"/>
    </row>
    <row r="906" spans="1:27" hidden="1" x14ac:dyDescent="0.2">
      <c r="A906" s="240"/>
      <c r="B906" s="318"/>
      <c r="C906" s="240"/>
      <c r="D906" s="241"/>
      <c r="E906" s="270"/>
      <c r="F906" s="271"/>
      <c r="G906" s="239"/>
      <c r="H906" s="239"/>
      <c r="I906" s="239"/>
      <c r="J906" s="239"/>
      <c r="K906" s="239"/>
      <c r="L906" s="239"/>
      <c r="M906" s="239"/>
      <c r="N906" s="239"/>
      <c r="O906" s="239"/>
      <c r="P906" s="239"/>
      <c r="Q906" s="239"/>
      <c r="R906" s="239"/>
      <c r="S906" s="239"/>
      <c r="T906" s="239"/>
      <c r="U906"/>
      <c r="V906"/>
      <c r="W906"/>
      <c r="X906"/>
      <c r="Y906"/>
      <c r="Z906"/>
      <c r="AA906"/>
    </row>
    <row r="907" spans="1:27" hidden="1" x14ac:dyDescent="0.2">
      <c r="A907" s="240"/>
      <c r="B907" s="318"/>
      <c r="C907" s="240"/>
      <c r="D907" s="241"/>
      <c r="E907" s="270"/>
      <c r="F907" s="271"/>
      <c r="G907" s="239"/>
      <c r="H907" s="239"/>
      <c r="I907" s="239"/>
      <c r="J907" s="239"/>
      <c r="K907" s="239"/>
      <c r="L907" s="239"/>
      <c r="M907" s="239"/>
      <c r="N907" s="239"/>
      <c r="O907" s="239"/>
      <c r="P907" s="239"/>
      <c r="Q907" s="239"/>
      <c r="R907" s="239"/>
      <c r="S907" s="239"/>
      <c r="T907" s="239"/>
      <c r="U907"/>
      <c r="V907"/>
      <c r="W907"/>
      <c r="X907"/>
      <c r="Y907"/>
      <c r="Z907"/>
      <c r="AA907"/>
    </row>
    <row r="908" spans="1:27" hidden="1" x14ac:dyDescent="0.2">
      <c r="A908" s="240"/>
      <c r="B908" s="318"/>
      <c r="C908" s="240"/>
      <c r="D908" s="241"/>
      <c r="E908" s="270"/>
      <c r="F908" s="271"/>
      <c r="G908" s="239"/>
      <c r="H908" s="239"/>
      <c r="I908" s="239"/>
      <c r="J908" s="239"/>
      <c r="K908" s="239"/>
      <c r="L908" s="239"/>
      <c r="M908" s="239"/>
      <c r="N908" s="239"/>
      <c r="O908" s="239"/>
      <c r="P908" s="239"/>
      <c r="Q908" s="239"/>
      <c r="R908" s="239"/>
      <c r="S908" s="239"/>
      <c r="T908" s="239"/>
      <c r="U908"/>
      <c r="V908"/>
      <c r="W908"/>
      <c r="X908"/>
      <c r="Y908"/>
      <c r="Z908"/>
      <c r="AA908"/>
    </row>
    <row r="909" spans="1:27" hidden="1" x14ac:dyDescent="0.2">
      <c r="A909" s="240"/>
      <c r="B909" s="318"/>
      <c r="C909" s="240"/>
      <c r="D909" s="241"/>
      <c r="E909" s="270"/>
      <c r="F909" s="271"/>
      <c r="G909" s="239"/>
      <c r="H909" s="239"/>
      <c r="I909" s="239"/>
      <c r="J909" s="239"/>
      <c r="K909" s="239"/>
      <c r="L909" s="239"/>
      <c r="M909" s="239"/>
      <c r="N909" s="239"/>
      <c r="O909" s="239"/>
      <c r="P909" s="239"/>
      <c r="Q909" s="239"/>
      <c r="R909" s="239"/>
      <c r="S909" s="239"/>
      <c r="T909" s="239"/>
      <c r="U909"/>
      <c r="V909"/>
      <c r="W909"/>
      <c r="X909"/>
      <c r="Y909"/>
      <c r="Z909"/>
      <c r="AA909"/>
    </row>
    <row r="910" spans="1:27" hidden="1" x14ac:dyDescent="0.2">
      <c r="A910" s="240"/>
      <c r="B910" s="318"/>
      <c r="C910" s="240"/>
      <c r="D910" s="241"/>
      <c r="E910" s="270"/>
      <c r="F910" s="271"/>
      <c r="G910" s="239"/>
      <c r="H910" s="239"/>
      <c r="I910" s="239"/>
      <c r="J910" s="239"/>
      <c r="K910" s="239"/>
      <c r="L910" s="239"/>
      <c r="M910" s="239"/>
      <c r="N910" s="239"/>
      <c r="O910" s="239"/>
      <c r="P910" s="239"/>
      <c r="Q910" s="239"/>
      <c r="R910" s="239"/>
      <c r="S910" s="239"/>
      <c r="T910" s="239"/>
      <c r="U910"/>
      <c r="V910"/>
      <c r="W910"/>
      <c r="X910"/>
      <c r="Y910"/>
      <c r="Z910"/>
      <c r="AA910"/>
    </row>
    <row r="911" spans="1:27" hidden="1" x14ac:dyDescent="0.2">
      <c r="A911" s="240"/>
      <c r="B911" s="318"/>
      <c r="C911" s="240"/>
      <c r="D911" s="241"/>
      <c r="E911" s="270"/>
      <c r="F911" s="271"/>
      <c r="G911" s="239"/>
      <c r="H911" s="239"/>
      <c r="I911" s="239"/>
      <c r="J911" s="239"/>
      <c r="K911" s="239"/>
      <c r="L911" s="239"/>
      <c r="M911" s="239"/>
      <c r="N911" s="239"/>
      <c r="O911" s="239"/>
      <c r="P911" s="239"/>
      <c r="Q911" s="239"/>
      <c r="R911" s="239"/>
      <c r="S911" s="239"/>
      <c r="T911" s="239"/>
      <c r="U911"/>
      <c r="V911"/>
      <c r="W911"/>
      <c r="X911"/>
      <c r="Y911"/>
      <c r="Z911"/>
      <c r="AA911"/>
    </row>
    <row r="912" spans="1:27" hidden="1" x14ac:dyDescent="0.2">
      <c r="A912" s="240"/>
      <c r="B912" s="318"/>
      <c r="C912" s="240"/>
      <c r="D912" s="241"/>
      <c r="E912" s="270"/>
      <c r="F912" s="271"/>
      <c r="G912" s="239"/>
      <c r="H912" s="239"/>
      <c r="I912" s="239"/>
      <c r="J912" s="239"/>
      <c r="K912" s="239"/>
      <c r="L912" s="239"/>
      <c r="M912" s="239"/>
      <c r="N912" s="239"/>
      <c r="O912" s="239"/>
      <c r="P912" s="239"/>
      <c r="Q912" s="239"/>
      <c r="R912" s="239"/>
      <c r="S912" s="239"/>
      <c r="T912" s="239"/>
      <c r="U912"/>
      <c r="V912"/>
      <c r="W912"/>
      <c r="X912"/>
      <c r="Y912"/>
      <c r="Z912"/>
      <c r="AA912"/>
    </row>
    <row r="913" spans="1:27" hidden="1" x14ac:dyDescent="0.2">
      <c r="A913" s="240"/>
      <c r="B913" s="318"/>
      <c r="C913" s="240"/>
      <c r="D913" s="241"/>
      <c r="E913" s="270"/>
      <c r="F913" s="271"/>
      <c r="G913" s="239"/>
      <c r="H913" s="239"/>
      <c r="I913" s="239"/>
      <c r="J913" s="239"/>
      <c r="K913" s="239"/>
      <c r="L913" s="239"/>
      <c r="M913" s="239"/>
      <c r="N913" s="239"/>
      <c r="O913" s="239"/>
      <c r="P913" s="239"/>
      <c r="Q913" s="239"/>
      <c r="R913" s="239"/>
      <c r="S913" s="239"/>
      <c r="T913" s="239"/>
      <c r="U913"/>
      <c r="V913"/>
      <c r="W913"/>
      <c r="X913"/>
      <c r="Y913"/>
      <c r="Z913"/>
      <c r="AA913"/>
    </row>
    <row r="914" spans="1:27" hidden="1" x14ac:dyDescent="0.2">
      <c r="A914" s="240"/>
      <c r="B914" s="318"/>
      <c r="C914" s="240"/>
      <c r="D914" s="241"/>
      <c r="E914" s="270"/>
      <c r="F914" s="271"/>
      <c r="G914" s="239"/>
      <c r="H914" s="239"/>
      <c r="I914" s="239"/>
      <c r="J914" s="239"/>
      <c r="K914" s="239"/>
      <c r="L914" s="239"/>
      <c r="M914" s="239"/>
      <c r="N914" s="239"/>
      <c r="O914" s="239"/>
      <c r="P914" s="239"/>
      <c r="Q914" s="239"/>
      <c r="R914" s="239"/>
      <c r="S914" s="239"/>
      <c r="T914" s="239"/>
      <c r="U914"/>
      <c r="V914"/>
      <c r="W914"/>
      <c r="X914"/>
      <c r="Y914"/>
      <c r="Z914"/>
      <c r="AA914"/>
    </row>
    <row r="915" spans="1:27" hidden="1" x14ac:dyDescent="0.2">
      <c r="A915" s="240"/>
      <c r="B915" s="318"/>
      <c r="C915" s="240"/>
      <c r="D915" s="241"/>
      <c r="E915" s="270"/>
      <c r="F915" s="271"/>
      <c r="G915" s="239"/>
      <c r="H915" s="239"/>
      <c r="I915" s="239"/>
      <c r="J915" s="239"/>
      <c r="K915" s="239"/>
      <c r="L915" s="239"/>
      <c r="M915" s="239"/>
      <c r="N915" s="239"/>
      <c r="O915" s="239"/>
      <c r="P915" s="239"/>
      <c r="Q915" s="239"/>
      <c r="R915" s="239"/>
      <c r="S915" s="239"/>
      <c r="T915" s="239"/>
      <c r="U915"/>
      <c r="V915"/>
      <c r="W915"/>
      <c r="X915"/>
      <c r="Y915"/>
      <c r="Z915"/>
      <c r="AA915"/>
    </row>
    <row r="916" spans="1:27" hidden="1" x14ac:dyDescent="0.2">
      <c r="A916" s="240"/>
      <c r="B916" s="318"/>
      <c r="C916" s="240"/>
      <c r="D916" s="241"/>
      <c r="E916" s="270"/>
      <c r="F916" s="271"/>
      <c r="G916" s="239"/>
      <c r="H916" s="239"/>
      <c r="I916" s="239"/>
      <c r="J916" s="239"/>
      <c r="K916" s="239"/>
      <c r="L916" s="239"/>
      <c r="M916" s="239"/>
      <c r="N916" s="239"/>
      <c r="O916" s="239"/>
      <c r="P916" s="239"/>
      <c r="Q916" s="239"/>
      <c r="R916" s="239"/>
      <c r="S916" s="239"/>
      <c r="T916" s="239"/>
      <c r="U916"/>
      <c r="V916"/>
      <c r="W916"/>
      <c r="X916"/>
      <c r="Y916"/>
      <c r="Z916"/>
      <c r="AA916"/>
    </row>
    <row r="917" spans="1:27" hidden="1" x14ac:dyDescent="0.2">
      <c r="A917" s="240"/>
      <c r="B917" s="318"/>
      <c r="C917" s="240"/>
      <c r="D917" s="241"/>
      <c r="E917" s="270"/>
      <c r="F917" s="271"/>
      <c r="G917" s="239"/>
      <c r="H917" s="239"/>
      <c r="I917" s="239"/>
      <c r="J917" s="239"/>
      <c r="K917" s="239"/>
      <c r="L917" s="239"/>
      <c r="M917" s="239"/>
      <c r="N917" s="239"/>
      <c r="O917" s="239"/>
      <c r="P917" s="239"/>
      <c r="Q917" s="239"/>
      <c r="R917" s="239"/>
      <c r="S917" s="239"/>
      <c r="T917" s="239"/>
      <c r="U917"/>
      <c r="V917"/>
      <c r="W917"/>
      <c r="X917"/>
      <c r="Y917"/>
      <c r="Z917"/>
      <c r="AA917"/>
    </row>
    <row r="918" spans="1:27" hidden="1" x14ac:dyDescent="0.2">
      <c r="A918" s="240"/>
      <c r="B918" s="318"/>
      <c r="C918" s="240"/>
      <c r="D918" s="241"/>
      <c r="E918" s="270"/>
      <c r="F918" s="271"/>
      <c r="G918" s="239"/>
      <c r="H918" s="239"/>
      <c r="I918" s="239"/>
      <c r="J918" s="239"/>
      <c r="K918" s="239"/>
      <c r="L918" s="239"/>
      <c r="M918" s="239"/>
      <c r="N918" s="239"/>
      <c r="O918" s="239"/>
      <c r="P918" s="239"/>
      <c r="Q918" s="239"/>
      <c r="R918" s="239"/>
      <c r="S918" s="239"/>
      <c r="T918" s="239"/>
      <c r="U918"/>
      <c r="V918"/>
      <c r="W918"/>
      <c r="X918"/>
      <c r="Y918"/>
      <c r="Z918"/>
      <c r="AA918"/>
    </row>
    <row r="919" spans="1:27" hidden="1" x14ac:dyDescent="0.2">
      <c r="A919" s="240"/>
      <c r="B919" s="318"/>
      <c r="C919" s="240"/>
      <c r="D919" s="241"/>
      <c r="E919" s="270"/>
      <c r="F919" s="271"/>
      <c r="G919" s="239"/>
      <c r="H919" s="239"/>
      <c r="I919" s="239"/>
      <c r="J919" s="239"/>
      <c r="K919" s="239"/>
      <c r="L919" s="239"/>
      <c r="M919" s="239"/>
      <c r="N919" s="239"/>
      <c r="O919" s="239"/>
      <c r="P919" s="239"/>
      <c r="Q919" s="239"/>
      <c r="R919" s="239"/>
      <c r="S919" s="239"/>
      <c r="T919" s="239"/>
      <c r="U919"/>
      <c r="V919"/>
      <c r="W919"/>
      <c r="X919"/>
      <c r="Y919"/>
      <c r="Z919"/>
      <c r="AA919"/>
    </row>
    <row r="920" spans="1:27" hidden="1" x14ac:dyDescent="0.2">
      <c r="A920" s="240"/>
      <c r="B920" s="318"/>
      <c r="C920" s="240"/>
      <c r="D920" s="241"/>
      <c r="E920" s="270"/>
      <c r="F920" s="271"/>
      <c r="G920" s="239"/>
      <c r="H920" s="239"/>
      <c r="I920" s="239"/>
      <c r="J920" s="239"/>
      <c r="K920" s="239"/>
      <c r="L920" s="239"/>
      <c r="M920" s="239"/>
      <c r="N920" s="239"/>
      <c r="O920" s="239"/>
      <c r="P920" s="239"/>
      <c r="Q920" s="239"/>
      <c r="R920" s="239"/>
      <c r="S920" s="239"/>
      <c r="T920" s="239"/>
      <c r="U920"/>
      <c r="V920"/>
      <c r="W920"/>
      <c r="X920"/>
      <c r="Y920"/>
      <c r="Z920"/>
      <c r="AA920"/>
    </row>
    <row r="921" spans="1:27" hidden="1" x14ac:dyDescent="0.2">
      <c r="A921" s="240"/>
      <c r="B921" s="318"/>
      <c r="C921" s="240"/>
      <c r="D921" s="241"/>
      <c r="E921" s="270"/>
      <c r="F921" s="271"/>
      <c r="G921" s="239"/>
      <c r="H921" s="239"/>
      <c r="I921" s="239"/>
      <c r="J921" s="239"/>
      <c r="K921" s="239"/>
      <c r="L921" s="239"/>
      <c r="M921" s="239"/>
      <c r="N921" s="239"/>
      <c r="O921" s="239"/>
      <c r="P921" s="239"/>
      <c r="Q921" s="239"/>
      <c r="R921" s="239"/>
      <c r="S921" s="239"/>
      <c r="T921" s="239"/>
      <c r="U921"/>
      <c r="V921"/>
      <c r="W921"/>
      <c r="X921"/>
      <c r="Y921"/>
      <c r="Z921"/>
      <c r="AA921"/>
    </row>
    <row r="922" spans="1:27" hidden="1" x14ac:dyDescent="0.2">
      <c r="A922" s="240"/>
      <c r="B922" s="318"/>
      <c r="C922" s="240"/>
      <c r="D922" s="241"/>
      <c r="E922" s="270"/>
      <c r="F922" s="271"/>
      <c r="G922" s="239"/>
      <c r="H922" s="239"/>
      <c r="I922" s="239"/>
      <c r="J922" s="239"/>
      <c r="K922" s="239"/>
      <c r="L922" s="239"/>
      <c r="M922" s="239"/>
      <c r="N922" s="239"/>
      <c r="O922" s="239"/>
      <c r="P922" s="239"/>
      <c r="Q922" s="239"/>
      <c r="R922" s="239"/>
      <c r="S922" s="239"/>
      <c r="T922" s="239"/>
      <c r="U922"/>
      <c r="V922"/>
      <c r="W922"/>
      <c r="X922"/>
      <c r="Y922"/>
      <c r="Z922"/>
      <c r="AA922"/>
    </row>
    <row r="923" spans="1:27" hidden="1" x14ac:dyDescent="0.2">
      <c r="A923" s="240"/>
      <c r="B923" s="318"/>
      <c r="C923" s="240"/>
      <c r="D923" s="241"/>
      <c r="E923" s="270"/>
      <c r="F923" s="271"/>
      <c r="G923" s="239"/>
      <c r="H923" s="239"/>
      <c r="I923" s="239"/>
      <c r="J923" s="239"/>
      <c r="K923" s="239"/>
      <c r="L923" s="239"/>
      <c r="M923" s="239"/>
      <c r="N923" s="239"/>
      <c r="O923" s="239"/>
      <c r="P923" s="239"/>
      <c r="Q923" s="239"/>
      <c r="R923" s="239"/>
      <c r="S923" s="239"/>
      <c r="T923" s="239"/>
      <c r="U923"/>
      <c r="V923"/>
      <c r="W923"/>
      <c r="X923"/>
      <c r="Y923"/>
      <c r="Z923"/>
      <c r="AA923"/>
    </row>
    <row r="924" spans="1:27" hidden="1" x14ac:dyDescent="0.2">
      <c r="A924" s="240"/>
      <c r="B924" s="318"/>
      <c r="C924" s="240"/>
      <c r="D924" s="241"/>
      <c r="E924" s="270"/>
      <c r="F924" s="271"/>
      <c r="G924" s="239"/>
      <c r="H924" s="239"/>
      <c r="I924" s="239"/>
      <c r="J924" s="239"/>
      <c r="K924" s="239"/>
      <c r="L924" s="239"/>
      <c r="M924" s="239"/>
      <c r="N924" s="239"/>
      <c r="O924" s="239"/>
      <c r="P924" s="239"/>
      <c r="Q924" s="239"/>
      <c r="R924" s="239"/>
      <c r="S924" s="239"/>
      <c r="T924" s="239"/>
      <c r="U924"/>
      <c r="V924"/>
      <c r="W924"/>
      <c r="X924"/>
      <c r="Y924"/>
      <c r="Z924"/>
      <c r="AA924"/>
    </row>
    <row r="925" spans="1:27" hidden="1" x14ac:dyDescent="0.2">
      <c r="A925" s="240"/>
      <c r="B925" s="318"/>
      <c r="C925" s="240"/>
      <c r="D925" s="241"/>
      <c r="E925" s="270"/>
      <c r="F925" s="271"/>
      <c r="G925" s="239"/>
      <c r="H925" s="239"/>
      <c r="I925" s="239"/>
      <c r="J925" s="239"/>
      <c r="K925" s="239"/>
      <c r="L925" s="239"/>
      <c r="M925" s="239"/>
      <c r="N925" s="239"/>
      <c r="O925" s="239"/>
      <c r="P925" s="239"/>
      <c r="Q925" s="239"/>
      <c r="R925" s="239"/>
      <c r="S925" s="239"/>
      <c r="T925" s="239"/>
      <c r="U925"/>
      <c r="V925"/>
      <c r="W925"/>
      <c r="X925"/>
      <c r="Y925"/>
      <c r="Z925"/>
      <c r="AA925"/>
    </row>
    <row r="926" spans="1:27" hidden="1" x14ac:dyDescent="0.2">
      <c r="A926" s="240"/>
      <c r="B926" s="318"/>
      <c r="C926" s="240"/>
      <c r="D926" s="241"/>
      <c r="E926" s="270"/>
      <c r="F926" s="271"/>
      <c r="G926" s="239"/>
      <c r="H926" s="239"/>
      <c r="I926" s="239"/>
      <c r="J926" s="239"/>
      <c r="K926" s="239"/>
      <c r="L926" s="239"/>
      <c r="M926" s="239"/>
      <c r="N926" s="239"/>
      <c r="O926" s="239"/>
      <c r="P926" s="239"/>
      <c r="Q926" s="239"/>
      <c r="R926" s="239"/>
      <c r="S926" s="239"/>
      <c r="T926" s="239"/>
      <c r="U926"/>
      <c r="V926"/>
      <c r="W926"/>
      <c r="X926"/>
      <c r="Y926"/>
      <c r="Z926"/>
      <c r="AA926"/>
    </row>
    <row r="927" spans="1:27" hidden="1" x14ac:dyDescent="0.2">
      <c r="A927" s="240"/>
      <c r="B927" s="318"/>
      <c r="C927" s="240"/>
      <c r="D927" s="241"/>
      <c r="E927" s="270"/>
      <c r="F927" s="271"/>
      <c r="G927" s="239"/>
      <c r="H927" s="239"/>
      <c r="I927" s="239"/>
      <c r="J927" s="239"/>
      <c r="K927" s="239"/>
      <c r="L927" s="239"/>
      <c r="M927" s="239"/>
      <c r="N927" s="239"/>
      <c r="O927" s="239"/>
      <c r="P927" s="239"/>
      <c r="Q927" s="239"/>
      <c r="R927" s="239"/>
      <c r="S927" s="239"/>
      <c r="T927" s="239"/>
      <c r="U927"/>
      <c r="V927"/>
      <c r="W927"/>
      <c r="X927"/>
      <c r="Y927"/>
      <c r="Z927"/>
      <c r="AA927"/>
    </row>
    <row r="928" spans="1:27" hidden="1" x14ac:dyDescent="0.2">
      <c r="A928" s="240"/>
      <c r="B928" s="318"/>
      <c r="C928" s="240"/>
      <c r="D928" s="241"/>
      <c r="E928" s="270"/>
      <c r="F928" s="271"/>
      <c r="G928" s="239"/>
      <c r="H928" s="239"/>
      <c r="I928" s="239"/>
      <c r="J928" s="239"/>
      <c r="K928" s="239"/>
      <c r="L928" s="239"/>
      <c r="M928" s="239"/>
      <c r="N928" s="239"/>
      <c r="O928" s="239"/>
      <c r="P928" s="239"/>
      <c r="Q928" s="239"/>
      <c r="R928" s="239"/>
      <c r="S928" s="239"/>
      <c r="T928" s="239"/>
      <c r="U928"/>
      <c r="V928"/>
      <c r="W928"/>
      <c r="X928"/>
      <c r="Y928"/>
      <c r="Z928"/>
      <c r="AA928"/>
    </row>
    <row r="929" spans="1:27" hidden="1" x14ac:dyDescent="0.2">
      <c r="A929" s="240"/>
      <c r="B929" s="318"/>
      <c r="C929" s="240"/>
      <c r="D929" s="241"/>
      <c r="E929" s="270"/>
      <c r="F929" s="271"/>
      <c r="G929" s="239"/>
      <c r="H929" s="239"/>
      <c r="I929" s="239"/>
      <c r="J929" s="239"/>
      <c r="K929" s="239"/>
      <c r="L929" s="239"/>
      <c r="M929" s="239"/>
      <c r="N929" s="239"/>
      <c r="O929" s="239"/>
      <c r="P929" s="239"/>
      <c r="Q929" s="239"/>
      <c r="R929" s="239"/>
      <c r="S929" s="239"/>
      <c r="T929" s="239"/>
      <c r="U929"/>
      <c r="V929"/>
      <c r="W929"/>
      <c r="X929"/>
      <c r="Y929"/>
      <c r="Z929"/>
      <c r="AA929"/>
    </row>
    <row r="930" spans="1:27" hidden="1" x14ac:dyDescent="0.2">
      <c r="A930" s="240"/>
      <c r="B930" s="318"/>
      <c r="C930" s="240"/>
      <c r="D930" s="241"/>
      <c r="E930" s="270"/>
      <c r="F930" s="271"/>
      <c r="G930" s="239"/>
      <c r="H930" s="239"/>
      <c r="I930" s="239"/>
      <c r="J930" s="239"/>
      <c r="K930" s="239"/>
      <c r="L930" s="239"/>
      <c r="M930" s="239"/>
      <c r="N930" s="239"/>
      <c r="O930" s="239"/>
      <c r="P930" s="239"/>
      <c r="Q930" s="239"/>
      <c r="R930" s="239"/>
      <c r="S930" s="239"/>
      <c r="T930" s="239"/>
      <c r="U930"/>
      <c r="V930"/>
      <c r="W930"/>
      <c r="X930"/>
      <c r="Y930"/>
      <c r="Z930"/>
      <c r="AA930"/>
    </row>
    <row r="931" spans="1:27" hidden="1" x14ac:dyDescent="0.2">
      <c r="A931" s="240"/>
      <c r="B931" s="318"/>
      <c r="C931" s="240"/>
      <c r="D931" s="241"/>
      <c r="E931" s="270"/>
      <c r="F931" s="271"/>
      <c r="G931" s="239"/>
      <c r="H931" s="239"/>
      <c r="I931" s="239"/>
      <c r="J931" s="239"/>
      <c r="K931" s="239"/>
      <c r="L931" s="239"/>
      <c r="M931" s="239"/>
      <c r="N931" s="239"/>
      <c r="O931" s="239"/>
      <c r="P931" s="239"/>
      <c r="Q931" s="239"/>
      <c r="R931" s="239"/>
      <c r="S931" s="239"/>
      <c r="T931" s="239"/>
      <c r="U931"/>
      <c r="V931"/>
      <c r="W931"/>
      <c r="X931"/>
      <c r="Y931"/>
      <c r="Z931"/>
      <c r="AA931"/>
    </row>
    <row r="932" spans="1:27" hidden="1" x14ac:dyDescent="0.2">
      <c r="A932" s="240"/>
      <c r="B932" s="318"/>
      <c r="C932" s="240"/>
      <c r="D932" s="241"/>
      <c r="E932" s="270"/>
      <c r="F932" s="271"/>
      <c r="G932" s="239"/>
      <c r="H932" s="239"/>
      <c r="I932" s="239"/>
      <c r="J932" s="239"/>
      <c r="K932" s="239"/>
      <c r="L932" s="239"/>
      <c r="M932" s="239"/>
      <c r="N932" s="239"/>
      <c r="O932" s="239"/>
      <c r="P932" s="239"/>
      <c r="Q932" s="239"/>
      <c r="R932" s="239"/>
      <c r="S932" s="239"/>
      <c r="T932" s="239"/>
      <c r="U932"/>
      <c r="V932"/>
      <c r="W932"/>
      <c r="X932"/>
      <c r="Y932"/>
      <c r="Z932"/>
      <c r="AA932"/>
    </row>
    <row r="933" spans="1:27" hidden="1" x14ac:dyDescent="0.2">
      <c r="A933" s="240"/>
      <c r="B933" s="318"/>
      <c r="C933" s="240"/>
      <c r="D933" s="241"/>
      <c r="E933" s="270"/>
      <c r="F933" s="271"/>
      <c r="G933" s="239"/>
      <c r="H933" s="239"/>
      <c r="I933" s="239"/>
      <c r="J933" s="239"/>
      <c r="K933" s="239"/>
      <c r="L933" s="239"/>
      <c r="M933" s="239"/>
      <c r="N933" s="239"/>
      <c r="O933" s="239"/>
      <c r="P933" s="239"/>
      <c r="Q933" s="239"/>
      <c r="R933" s="239"/>
      <c r="S933" s="239"/>
      <c r="T933" s="239"/>
      <c r="U933"/>
      <c r="V933"/>
      <c r="W933"/>
      <c r="X933"/>
      <c r="Y933"/>
      <c r="Z933"/>
      <c r="AA933"/>
    </row>
    <row r="934" spans="1:27" hidden="1" x14ac:dyDescent="0.2">
      <c r="A934" s="240"/>
      <c r="B934" s="318"/>
      <c r="C934" s="240"/>
      <c r="D934" s="241"/>
      <c r="E934" s="270"/>
      <c r="F934" s="271"/>
      <c r="G934" s="239"/>
      <c r="H934" s="239"/>
      <c r="I934" s="239"/>
      <c r="J934" s="239"/>
      <c r="K934" s="239"/>
      <c r="L934" s="239"/>
      <c r="M934" s="239"/>
      <c r="N934" s="239"/>
      <c r="O934" s="239"/>
      <c r="P934" s="239"/>
      <c r="Q934" s="239"/>
      <c r="R934" s="239"/>
      <c r="S934" s="239"/>
      <c r="T934" s="239"/>
      <c r="U934"/>
      <c r="V934"/>
      <c r="W934"/>
      <c r="X934"/>
      <c r="Y934"/>
      <c r="Z934"/>
      <c r="AA934"/>
    </row>
    <row r="935" spans="1:27" hidden="1" x14ac:dyDescent="0.2">
      <c r="A935" s="240"/>
      <c r="B935" s="318"/>
      <c r="C935" s="240"/>
      <c r="D935" s="241"/>
      <c r="E935" s="270"/>
      <c r="F935" s="271"/>
      <c r="G935" s="239"/>
      <c r="H935" s="239"/>
      <c r="I935" s="239"/>
      <c r="J935" s="239"/>
      <c r="K935" s="239"/>
      <c r="L935" s="239"/>
      <c r="M935" s="239"/>
      <c r="N935" s="239"/>
      <c r="O935" s="239"/>
      <c r="P935" s="239"/>
      <c r="Q935" s="239"/>
      <c r="R935" s="239"/>
      <c r="S935" s="239"/>
      <c r="T935" s="239"/>
      <c r="U935"/>
      <c r="V935"/>
      <c r="W935"/>
      <c r="X935"/>
      <c r="Y935"/>
      <c r="Z935"/>
      <c r="AA935"/>
    </row>
    <row r="936" spans="1:27" hidden="1" x14ac:dyDescent="0.2">
      <c r="A936" s="240"/>
      <c r="B936" s="318"/>
      <c r="C936" s="240"/>
      <c r="D936" s="241"/>
      <c r="E936" s="270"/>
      <c r="F936" s="271"/>
      <c r="G936" s="239"/>
      <c r="H936" s="239"/>
      <c r="I936" s="239"/>
      <c r="J936" s="239"/>
      <c r="K936" s="239"/>
      <c r="L936" s="239"/>
      <c r="M936" s="239"/>
      <c r="N936" s="239"/>
      <c r="O936" s="239"/>
      <c r="P936" s="239"/>
      <c r="Q936" s="239"/>
      <c r="R936" s="239"/>
      <c r="S936" s="239"/>
      <c r="T936" s="239"/>
      <c r="U936"/>
      <c r="V936"/>
      <c r="W936"/>
      <c r="X936"/>
      <c r="Y936"/>
      <c r="Z936"/>
      <c r="AA936"/>
    </row>
    <row r="937" spans="1:27" hidden="1" x14ac:dyDescent="0.2">
      <c r="A937" s="240"/>
      <c r="B937" s="318"/>
      <c r="C937" s="240"/>
      <c r="D937" s="241"/>
      <c r="E937" s="270"/>
      <c r="F937" s="271"/>
      <c r="G937" s="239"/>
      <c r="H937" s="239"/>
      <c r="I937" s="239"/>
      <c r="J937" s="239"/>
      <c r="K937" s="239"/>
      <c r="L937" s="239"/>
      <c r="M937" s="239"/>
      <c r="N937" s="239"/>
      <c r="O937" s="239"/>
      <c r="P937" s="239"/>
      <c r="Q937" s="239"/>
      <c r="R937" s="239"/>
      <c r="S937" s="239"/>
      <c r="T937" s="239"/>
      <c r="U937"/>
      <c r="V937"/>
      <c r="W937"/>
      <c r="X937"/>
      <c r="Y937"/>
      <c r="Z937"/>
      <c r="AA937"/>
    </row>
    <row r="938" spans="1:27" hidden="1" x14ac:dyDescent="0.2">
      <c r="A938" s="240"/>
      <c r="B938" s="318"/>
      <c r="C938" s="240"/>
      <c r="D938" s="241"/>
      <c r="E938" s="270"/>
      <c r="F938" s="271"/>
      <c r="G938" s="239"/>
      <c r="H938" s="239"/>
      <c r="I938" s="239"/>
      <c r="J938" s="239"/>
      <c r="K938" s="239"/>
      <c r="L938" s="239"/>
      <c r="M938" s="239"/>
      <c r="N938" s="239"/>
      <c r="O938" s="239"/>
      <c r="P938" s="239"/>
      <c r="Q938" s="239"/>
      <c r="R938" s="239"/>
      <c r="S938" s="239"/>
      <c r="T938" s="239"/>
      <c r="U938"/>
      <c r="V938"/>
      <c r="W938"/>
      <c r="X938"/>
      <c r="Y938"/>
      <c r="Z938"/>
      <c r="AA938"/>
    </row>
    <row r="939" spans="1:27" hidden="1" x14ac:dyDescent="0.2">
      <c r="A939" s="240"/>
      <c r="B939" s="318"/>
      <c r="C939" s="240"/>
      <c r="D939" s="241"/>
      <c r="E939" s="270"/>
      <c r="F939" s="271"/>
      <c r="G939" s="239"/>
      <c r="H939" s="239"/>
      <c r="I939" s="239"/>
      <c r="J939" s="239"/>
      <c r="K939" s="239"/>
      <c r="L939" s="239"/>
      <c r="M939" s="239"/>
      <c r="N939" s="239"/>
      <c r="O939" s="239"/>
      <c r="P939" s="239"/>
      <c r="Q939" s="239"/>
      <c r="R939" s="239"/>
      <c r="S939" s="239"/>
      <c r="T939" s="239"/>
      <c r="U939"/>
      <c r="V939"/>
      <c r="W939"/>
      <c r="X939"/>
      <c r="Y939"/>
      <c r="Z939"/>
      <c r="AA939"/>
    </row>
    <row r="940" spans="1:27" hidden="1" x14ac:dyDescent="0.2">
      <c r="A940" s="240"/>
      <c r="B940" s="318"/>
      <c r="C940" s="240"/>
      <c r="D940" s="241"/>
      <c r="E940" s="270"/>
      <c r="F940" s="271"/>
      <c r="G940" s="239"/>
      <c r="H940" s="239"/>
      <c r="I940" s="239"/>
      <c r="J940" s="239"/>
      <c r="K940" s="239"/>
      <c r="L940" s="239"/>
      <c r="M940" s="239"/>
      <c r="N940" s="239"/>
      <c r="O940" s="239"/>
      <c r="P940" s="239"/>
      <c r="Q940" s="239"/>
      <c r="R940" s="239"/>
      <c r="S940" s="239"/>
      <c r="T940" s="239"/>
      <c r="U940"/>
      <c r="V940"/>
      <c r="W940"/>
      <c r="X940"/>
      <c r="Y940"/>
      <c r="Z940"/>
      <c r="AA940"/>
    </row>
    <row r="941" spans="1:27" hidden="1" x14ac:dyDescent="0.2">
      <c r="A941" s="240"/>
      <c r="B941" s="318"/>
      <c r="C941" s="240"/>
      <c r="D941" s="241"/>
      <c r="E941" s="270"/>
      <c r="F941" s="271"/>
      <c r="G941" s="239"/>
      <c r="H941" s="239"/>
      <c r="I941" s="239"/>
      <c r="J941" s="239"/>
      <c r="K941" s="239"/>
      <c r="L941" s="239"/>
      <c r="M941" s="239"/>
      <c r="N941" s="239"/>
      <c r="O941" s="239"/>
      <c r="P941" s="239"/>
      <c r="Q941" s="239"/>
      <c r="R941" s="239"/>
      <c r="S941" s="239"/>
      <c r="T941" s="239"/>
      <c r="U941"/>
      <c r="V941"/>
      <c r="W941"/>
      <c r="X941"/>
      <c r="Y941"/>
      <c r="Z941"/>
      <c r="AA941"/>
    </row>
    <row r="942" spans="1:27" hidden="1" x14ac:dyDescent="0.2">
      <c r="A942" s="240"/>
      <c r="B942" s="318"/>
      <c r="C942" s="240"/>
      <c r="D942" s="241"/>
      <c r="E942" s="270"/>
      <c r="F942" s="271"/>
      <c r="G942" s="239"/>
      <c r="H942" s="239"/>
      <c r="I942" s="239"/>
      <c r="J942" s="239"/>
      <c r="K942" s="239"/>
      <c r="L942" s="239"/>
      <c r="M942" s="239"/>
      <c r="N942" s="239"/>
      <c r="O942" s="239"/>
      <c r="P942" s="239"/>
      <c r="Q942" s="239"/>
      <c r="R942" s="239"/>
      <c r="S942" s="239"/>
      <c r="T942" s="239"/>
      <c r="U942"/>
      <c r="V942"/>
      <c r="W942"/>
      <c r="X942"/>
      <c r="Y942"/>
      <c r="Z942"/>
      <c r="AA942"/>
    </row>
    <row r="943" spans="1:27" hidden="1" x14ac:dyDescent="0.2">
      <c r="A943" s="240"/>
      <c r="B943" s="318"/>
      <c r="C943" s="240"/>
      <c r="D943" s="241"/>
      <c r="E943" s="270"/>
      <c r="F943" s="271"/>
      <c r="G943" s="239"/>
      <c r="H943" s="239"/>
      <c r="I943" s="239"/>
      <c r="J943" s="239"/>
      <c r="K943" s="239"/>
      <c r="L943" s="239"/>
      <c r="M943" s="239"/>
      <c r="N943" s="239"/>
      <c r="O943" s="239"/>
      <c r="P943" s="239"/>
      <c r="Q943" s="239"/>
      <c r="R943" s="239"/>
      <c r="S943" s="239"/>
      <c r="T943" s="239"/>
      <c r="U943"/>
      <c r="V943"/>
      <c r="W943"/>
      <c r="X943"/>
      <c r="Y943"/>
      <c r="Z943"/>
      <c r="AA943"/>
    </row>
    <row r="944" spans="1:27" hidden="1" x14ac:dyDescent="0.2">
      <c r="A944" s="240"/>
      <c r="B944" s="318"/>
      <c r="C944" s="240"/>
      <c r="D944" s="241"/>
      <c r="E944" s="270"/>
      <c r="F944" s="271"/>
      <c r="G944" s="239"/>
      <c r="H944" s="239"/>
      <c r="I944" s="239"/>
      <c r="J944" s="239"/>
      <c r="K944" s="239"/>
      <c r="L944" s="239"/>
      <c r="M944" s="239"/>
      <c r="N944" s="239"/>
      <c r="O944" s="239"/>
      <c r="P944" s="239"/>
      <c r="Q944" s="239"/>
      <c r="R944" s="239"/>
      <c r="S944" s="239"/>
      <c r="T944" s="239"/>
      <c r="U944"/>
      <c r="V944"/>
      <c r="W944"/>
      <c r="X944"/>
      <c r="Y944"/>
      <c r="Z944"/>
      <c r="AA944"/>
    </row>
    <row r="945" spans="1:27" hidden="1" x14ac:dyDescent="0.2">
      <c r="A945" s="240"/>
      <c r="B945" s="318"/>
      <c r="C945" s="240"/>
      <c r="D945" s="241"/>
      <c r="E945" s="270"/>
      <c r="F945" s="271"/>
      <c r="G945" s="239"/>
      <c r="H945" s="239"/>
      <c r="I945" s="239"/>
      <c r="J945" s="239"/>
      <c r="K945" s="239"/>
      <c r="L945" s="239"/>
      <c r="M945" s="239"/>
      <c r="N945" s="239"/>
      <c r="O945" s="239"/>
      <c r="P945" s="239"/>
      <c r="Q945" s="239"/>
      <c r="R945" s="239"/>
      <c r="S945" s="239"/>
      <c r="T945" s="239"/>
      <c r="U945"/>
      <c r="V945"/>
      <c r="W945"/>
      <c r="X945"/>
      <c r="Y945"/>
      <c r="Z945"/>
      <c r="AA945"/>
    </row>
    <row r="946" spans="1:27" hidden="1" x14ac:dyDescent="0.2">
      <c r="A946" s="240"/>
      <c r="B946" s="318"/>
      <c r="C946" s="240"/>
      <c r="D946" s="241"/>
      <c r="E946" s="270"/>
      <c r="F946" s="271"/>
      <c r="G946" s="239"/>
      <c r="H946" s="239"/>
      <c r="I946" s="239"/>
      <c r="J946" s="239"/>
      <c r="K946" s="239"/>
      <c r="L946" s="239"/>
      <c r="M946" s="239"/>
      <c r="N946" s="239"/>
      <c r="O946" s="239"/>
      <c r="P946" s="239"/>
      <c r="Q946" s="239"/>
      <c r="R946" s="239"/>
      <c r="S946" s="239"/>
      <c r="T946" s="239"/>
      <c r="U946"/>
      <c r="V946"/>
      <c r="W946"/>
      <c r="X946"/>
      <c r="Y946"/>
      <c r="Z946"/>
      <c r="AA946"/>
    </row>
    <row r="947" spans="1:27" hidden="1" x14ac:dyDescent="0.2">
      <c r="A947" s="240"/>
      <c r="B947" s="318"/>
      <c r="C947" s="240"/>
      <c r="D947" s="241"/>
      <c r="E947" s="270"/>
      <c r="F947" s="271"/>
      <c r="G947" s="239"/>
      <c r="H947" s="239"/>
      <c r="I947" s="239"/>
      <c r="J947" s="239"/>
      <c r="K947" s="239"/>
      <c r="L947" s="239"/>
      <c r="M947" s="239"/>
      <c r="N947" s="239"/>
      <c r="O947" s="239"/>
      <c r="P947" s="239"/>
      <c r="Q947" s="239"/>
      <c r="R947" s="239"/>
      <c r="S947" s="239"/>
      <c r="T947" s="239"/>
      <c r="U947"/>
      <c r="V947"/>
      <c r="W947"/>
      <c r="X947"/>
      <c r="Y947"/>
      <c r="Z947"/>
      <c r="AA947"/>
    </row>
    <row r="948" spans="1:27" hidden="1" x14ac:dyDescent="0.2">
      <c r="A948" s="240"/>
      <c r="B948" s="318"/>
      <c r="C948" s="240"/>
      <c r="D948" s="241"/>
      <c r="E948" s="270"/>
      <c r="F948" s="271"/>
      <c r="G948" s="239"/>
      <c r="H948" s="239"/>
      <c r="I948" s="239"/>
      <c r="J948" s="239"/>
      <c r="K948" s="239"/>
      <c r="L948" s="239"/>
      <c r="M948" s="239"/>
      <c r="N948" s="239"/>
      <c r="O948" s="239"/>
      <c r="P948" s="239"/>
      <c r="Q948" s="239"/>
      <c r="R948" s="239"/>
      <c r="S948" s="239"/>
      <c r="T948" s="239"/>
      <c r="U948"/>
      <c r="V948"/>
      <c r="W948"/>
      <c r="X948"/>
      <c r="Y948"/>
      <c r="Z948"/>
      <c r="AA948"/>
    </row>
    <row r="949" spans="1:27" hidden="1" x14ac:dyDescent="0.2">
      <c r="A949" s="240"/>
      <c r="B949" s="318"/>
      <c r="C949" s="240"/>
      <c r="D949" s="241"/>
      <c r="E949" s="270"/>
      <c r="F949" s="271"/>
      <c r="G949" s="239"/>
      <c r="H949" s="239"/>
      <c r="I949" s="239"/>
      <c r="J949" s="239"/>
      <c r="K949" s="239"/>
      <c r="L949" s="239"/>
      <c r="M949" s="239"/>
      <c r="N949" s="239"/>
      <c r="O949" s="239"/>
      <c r="P949" s="239"/>
      <c r="Q949" s="239"/>
      <c r="R949" s="239"/>
      <c r="S949" s="239"/>
      <c r="T949" s="239"/>
      <c r="U949"/>
      <c r="V949"/>
      <c r="W949"/>
      <c r="X949"/>
      <c r="Y949"/>
      <c r="Z949"/>
      <c r="AA949"/>
    </row>
    <row r="950" spans="1:27" hidden="1" x14ac:dyDescent="0.2">
      <c r="A950" s="240"/>
      <c r="B950" s="318"/>
      <c r="C950" s="240"/>
      <c r="D950" s="241"/>
      <c r="E950" s="270"/>
      <c r="F950" s="271"/>
      <c r="G950" s="239"/>
      <c r="H950" s="239"/>
      <c r="I950" s="239"/>
      <c r="J950" s="239"/>
      <c r="K950" s="239"/>
      <c r="L950" s="239"/>
      <c r="M950" s="239"/>
      <c r="N950" s="239"/>
      <c r="O950" s="239"/>
      <c r="P950" s="239"/>
      <c r="Q950" s="239"/>
      <c r="R950" s="239"/>
      <c r="S950" s="239"/>
      <c r="T950" s="239"/>
      <c r="U950"/>
      <c r="V950"/>
      <c r="W950"/>
      <c r="X950"/>
      <c r="Y950"/>
      <c r="Z950"/>
      <c r="AA950"/>
    </row>
    <row r="951" spans="1:27" hidden="1" x14ac:dyDescent="0.2">
      <c r="A951" s="240"/>
      <c r="B951" s="318"/>
      <c r="C951" s="240"/>
      <c r="D951" s="241"/>
      <c r="E951" s="270"/>
      <c r="F951" s="271"/>
      <c r="G951" s="239"/>
      <c r="H951" s="239"/>
      <c r="I951" s="239"/>
      <c r="J951" s="239"/>
      <c r="K951" s="239"/>
      <c r="L951" s="239"/>
      <c r="M951" s="239"/>
      <c r="N951" s="239"/>
      <c r="O951" s="239"/>
      <c r="P951" s="239"/>
      <c r="Q951" s="239"/>
      <c r="R951" s="239"/>
      <c r="S951" s="239"/>
      <c r="T951" s="239"/>
      <c r="U951"/>
      <c r="V951"/>
      <c r="W951"/>
      <c r="X951"/>
      <c r="Y951"/>
      <c r="Z951"/>
      <c r="AA951"/>
    </row>
    <row r="952" spans="1:27" hidden="1" x14ac:dyDescent="0.2">
      <c r="A952" s="240"/>
      <c r="B952" s="318"/>
      <c r="C952" s="240"/>
      <c r="D952" s="241"/>
      <c r="E952" s="270"/>
      <c r="F952" s="271"/>
      <c r="G952" s="239"/>
      <c r="H952" s="239"/>
      <c r="I952" s="239"/>
      <c r="J952" s="239"/>
      <c r="K952" s="239"/>
      <c r="L952" s="239"/>
      <c r="M952" s="239"/>
      <c r="N952" s="239"/>
      <c r="O952" s="239"/>
      <c r="P952" s="239"/>
      <c r="Q952" s="239"/>
      <c r="R952" s="239"/>
      <c r="S952" s="239"/>
      <c r="T952" s="239"/>
      <c r="U952"/>
      <c r="V952"/>
      <c r="W952"/>
      <c r="X952"/>
      <c r="Y952"/>
      <c r="Z952"/>
      <c r="AA952"/>
    </row>
    <row r="953" spans="1:27" hidden="1" x14ac:dyDescent="0.2">
      <c r="A953" s="240"/>
      <c r="B953" s="318"/>
      <c r="C953" s="240"/>
      <c r="D953" s="241"/>
      <c r="E953" s="270"/>
      <c r="F953" s="271"/>
      <c r="G953" s="239"/>
      <c r="H953" s="239"/>
      <c r="I953" s="239"/>
      <c r="J953" s="239"/>
      <c r="K953" s="239"/>
      <c r="L953" s="239"/>
      <c r="M953" s="239"/>
      <c r="N953" s="239"/>
      <c r="O953" s="239"/>
      <c r="P953" s="239"/>
      <c r="Q953" s="239"/>
      <c r="R953" s="239"/>
      <c r="S953" s="239"/>
      <c r="T953" s="239"/>
      <c r="U953"/>
      <c r="V953"/>
      <c r="W953"/>
      <c r="X953"/>
      <c r="Y953"/>
      <c r="Z953"/>
      <c r="AA953"/>
    </row>
    <row r="954" spans="1:27" hidden="1" x14ac:dyDescent="0.2">
      <c r="A954" s="240"/>
      <c r="B954" s="318"/>
      <c r="C954" s="240"/>
      <c r="D954" s="241"/>
      <c r="E954" s="270"/>
      <c r="F954" s="271"/>
      <c r="G954" s="239"/>
      <c r="H954" s="239"/>
      <c r="I954" s="239"/>
      <c r="J954" s="239"/>
      <c r="K954" s="239"/>
      <c r="L954" s="239"/>
      <c r="M954" s="239"/>
      <c r="N954" s="239"/>
      <c r="O954" s="239"/>
      <c r="P954" s="239"/>
      <c r="Q954" s="239"/>
      <c r="R954" s="239"/>
      <c r="S954" s="239"/>
      <c r="T954" s="239"/>
      <c r="U954"/>
      <c r="V954"/>
      <c r="W954"/>
      <c r="X954"/>
      <c r="Y954"/>
      <c r="Z954"/>
      <c r="AA954"/>
    </row>
    <row r="955" spans="1:27" hidden="1" x14ac:dyDescent="0.2">
      <c r="A955" s="240"/>
      <c r="B955" s="318"/>
      <c r="C955" s="240"/>
      <c r="D955" s="241"/>
      <c r="E955" s="270"/>
      <c r="F955" s="271"/>
      <c r="G955" s="239"/>
      <c r="H955" s="239"/>
      <c r="I955" s="239"/>
      <c r="J955" s="239"/>
      <c r="K955" s="239"/>
      <c r="L955" s="239"/>
      <c r="M955" s="239"/>
      <c r="N955" s="239"/>
      <c r="O955" s="239"/>
      <c r="P955" s="239"/>
      <c r="Q955" s="239"/>
      <c r="R955" s="239"/>
      <c r="S955" s="239"/>
      <c r="T955" s="239"/>
      <c r="U955"/>
      <c r="V955"/>
      <c r="W955"/>
      <c r="X955"/>
      <c r="Y955"/>
      <c r="Z955"/>
      <c r="AA955"/>
    </row>
    <row r="956" spans="1:27" hidden="1" x14ac:dyDescent="0.2">
      <c r="A956" s="240"/>
      <c r="B956" s="318"/>
      <c r="C956" s="240"/>
      <c r="D956" s="241"/>
      <c r="E956" s="270"/>
      <c r="F956" s="271"/>
      <c r="G956" s="239"/>
      <c r="H956" s="239"/>
      <c r="I956" s="239"/>
      <c r="J956" s="239"/>
      <c r="K956" s="239"/>
      <c r="L956" s="239"/>
      <c r="M956" s="239"/>
      <c r="N956" s="239"/>
      <c r="O956" s="239"/>
      <c r="P956" s="239"/>
      <c r="Q956" s="239"/>
      <c r="R956" s="239"/>
      <c r="S956" s="239"/>
      <c r="T956" s="239"/>
      <c r="U956"/>
      <c r="V956"/>
      <c r="W956"/>
      <c r="X956"/>
      <c r="Y956"/>
      <c r="Z956"/>
      <c r="AA956"/>
    </row>
    <row r="957" spans="1:27" hidden="1" x14ac:dyDescent="0.2">
      <c r="A957" s="240"/>
      <c r="B957" s="318"/>
      <c r="C957" s="240"/>
      <c r="D957" s="241"/>
      <c r="E957" s="270"/>
      <c r="F957" s="271"/>
      <c r="G957" s="239"/>
      <c r="H957" s="239"/>
      <c r="I957" s="239"/>
      <c r="J957" s="239"/>
      <c r="K957" s="239"/>
      <c r="L957" s="239"/>
      <c r="M957" s="239"/>
      <c r="N957" s="239"/>
      <c r="O957" s="239"/>
      <c r="P957" s="239"/>
      <c r="Q957" s="239"/>
      <c r="R957" s="239"/>
      <c r="S957" s="239"/>
      <c r="T957" s="239"/>
      <c r="U957"/>
      <c r="V957"/>
      <c r="W957"/>
      <c r="X957"/>
      <c r="Y957"/>
      <c r="Z957"/>
      <c r="AA957"/>
    </row>
    <row r="958" spans="1:27" hidden="1" x14ac:dyDescent="0.2">
      <c r="A958" s="240"/>
      <c r="B958" s="318"/>
      <c r="C958" s="240"/>
      <c r="D958" s="241"/>
      <c r="E958" s="270"/>
      <c r="F958" s="271"/>
      <c r="G958" s="239"/>
      <c r="H958" s="239"/>
      <c r="I958" s="239"/>
      <c r="J958" s="239"/>
      <c r="K958" s="239"/>
      <c r="L958" s="239"/>
      <c r="M958" s="239"/>
      <c r="N958" s="239"/>
      <c r="O958" s="239"/>
      <c r="P958" s="239"/>
      <c r="Q958" s="239"/>
      <c r="R958" s="239"/>
      <c r="S958" s="239"/>
      <c r="T958" s="239"/>
      <c r="U958"/>
      <c r="V958"/>
      <c r="W958"/>
      <c r="X958"/>
      <c r="Y958"/>
      <c r="Z958"/>
      <c r="AA958"/>
    </row>
    <row r="959" spans="1:27" hidden="1" x14ac:dyDescent="0.2">
      <c r="A959" s="240"/>
      <c r="B959" s="318"/>
      <c r="C959" s="240"/>
      <c r="D959" s="241"/>
      <c r="E959" s="270"/>
      <c r="F959" s="271"/>
      <c r="G959" s="239"/>
      <c r="H959" s="239"/>
      <c r="I959" s="239"/>
      <c r="J959" s="239"/>
      <c r="K959" s="239"/>
      <c r="L959" s="239"/>
      <c r="M959" s="239"/>
      <c r="N959" s="239"/>
      <c r="O959" s="239"/>
      <c r="P959" s="239"/>
      <c r="Q959" s="239"/>
      <c r="R959" s="239"/>
      <c r="S959" s="239"/>
      <c r="T959" s="239"/>
      <c r="U959"/>
      <c r="V959"/>
      <c r="W959"/>
      <c r="X959"/>
      <c r="Y959"/>
      <c r="Z959"/>
      <c r="AA959"/>
    </row>
    <row r="960" spans="1:27" hidden="1" x14ac:dyDescent="0.2">
      <c r="A960" s="240"/>
      <c r="B960" s="318"/>
      <c r="C960" s="240"/>
      <c r="D960" s="241"/>
      <c r="E960" s="270"/>
      <c r="F960" s="271"/>
      <c r="G960" s="239"/>
      <c r="H960" s="239"/>
      <c r="I960" s="239"/>
      <c r="J960" s="239"/>
      <c r="K960" s="239"/>
      <c r="L960" s="239"/>
      <c r="M960" s="239"/>
      <c r="N960" s="239"/>
      <c r="O960" s="239"/>
      <c r="P960" s="239"/>
      <c r="Q960" s="239"/>
      <c r="R960" s="239"/>
      <c r="S960" s="239"/>
      <c r="T960" s="239"/>
      <c r="U960"/>
      <c r="V960"/>
      <c r="W960"/>
      <c r="X960"/>
      <c r="Y960"/>
      <c r="Z960"/>
      <c r="AA960"/>
    </row>
    <row r="961" spans="1:27" hidden="1" x14ac:dyDescent="0.2">
      <c r="A961" s="240"/>
      <c r="B961" s="318"/>
      <c r="C961" s="240"/>
      <c r="D961" s="241"/>
      <c r="E961" s="270"/>
      <c r="F961" s="271"/>
      <c r="G961" s="239"/>
      <c r="H961" s="239"/>
      <c r="I961" s="239"/>
      <c r="J961" s="239"/>
      <c r="K961" s="239"/>
      <c r="L961" s="239"/>
      <c r="M961" s="239"/>
      <c r="N961" s="239"/>
      <c r="O961" s="239"/>
      <c r="P961" s="239"/>
      <c r="Q961" s="239"/>
      <c r="R961" s="239"/>
      <c r="S961" s="239"/>
      <c r="T961" s="239"/>
      <c r="U961"/>
      <c r="V961"/>
      <c r="W961"/>
      <c r="X961"/>
      <c r="Y961"/>
      <c r="Z961"/>
      <c r="AA961"/>
    </row>
    <row r="962" spans="1:27" hidden="1" x14ac:dyDescent="0.2">
      <c r="A962" s="240"/>
      <c r="B962" s="318"/>
      <c r="C962" s="240"/>
      <c r="D962" s="241"/>
      <c r="E962" s="270"/>
      <c r="F962" s="271"/>
      <c r="G962" s="239"/>
      <c r="H962" s="239"/>
      <c r="I962" s="239"/>
      <c r="J962" s="239"/>
      <c r="K962" s="239"/>
      <c r="L962" s="239"/>
      <c r="M962" s="239"/>
      <c r="N962" s="239"/>
      <c r="O962" s="239"/>
      <c r="P962" s="239"/>
      <c r="Q962" s="239"/>
      <c r="R962" s="239"/>
      <c r="S962" s="239"/>
      <c r="T962" s="239"/>
      <c r="U962"/>
      <c r="V962"/>
      <c r="W962"/>
      <c r="X962"/>
      <c r="Y962"/>
      <c r="Z962"/>
      <c r="AA962"/>
    </row>
    <row r="963" spans="1:27" hidden="1" x14ac:dyDescent="0.2">
      <c r="A963" s="240"/>
      <c r="B963" s="318"/>
      <c r="C963" s="240"/>
      <c r="D963" s="241"/>
      <c r="E963" s="270"/>
      <c r="F963" s="271"/>
      <c r="G963" s="239"/>
      <c r="H963" s="239"/>
      <c r="I963" s="239"/>
      <c r="J963" s="239"/>
      <c r="K963" s="239"/>
      <c r="L963" s="239"/>
      <c r="M963" s="239"/>
      <c r="N963" s="239"/>
      <c r="O963" s="239"/>
      <c r="P963" s="239"/>
      <c r="Q963" s="239"/>
      <c r="R963" s="239"/>
      <c r="S963" s="239"/>
      <c r="T963" s="239"/>
      <c r="U963"/>
      <c r="V963"/>
      <c r="W963"/>
      <c r="X963"/>
      <c r="Y963"/>
      <c r="Z963"/>
      <c r="AA963"/>
    </row>
    <row r="964" spans="1:27" hidden="1" x14ac:dyDescent="0.2">
      <c r="A964" s="240"/>
      <c r="B964" s="318"/>
      <c r="C964" s="240"/>
      <c r="D964" s="241"/>
      <c r="E964" s="270"/>
      <c r="F964" s="271"/>
      <c r="G964" s="239"/>
      <c r="H964" s="239"/>
      <c r="I964" s="239"/>
      <c r="J964" s="239"/>
      <c r="K964" s="239"/>
      <c r="L964" s="239"/>
      <c r="M964" s="239"/>
      <c r="N964" s="239"/>
      <c r="O964" s="239"/>
      <c r="P964" s="239"/>
      <c r="Q964" s="239"/>
      <c r="R964" s="239"/>
      <c r="S964" s="239"/>
      <c r="T964" s="239"/>
      <c r="U964"/>
      <c r="V964"/>
      <c r="W964"/>
      <c r="X964"/>
      <c r="Y964"/>
      <c r="Z964"/>
      <c r="AA964"/>
    </row>
    <row r="965" spans="1:27" hidden="1" x14ac:dyDescent="0.2">
      <c r="A965" s="240"/>
      <c r="B965" s="318"/>
      <c r="C965" s="240"/>
      <c r="D965" s="241"/>
      <c r="E965" s="270"/>
      <c r="F965" s="271"/>
      <c r="G965" s="239"/>
      <c r="H965" s="239"/>
      <c r="I965" s="239"/>
      <c r="J965" s="239"/>
      <c r="K965" s="239"/>
      <c r="L965" s="239"/>
      <c r="M965" s="239"/>
      <c r="N965" s="239"/>
      <c r="O965" s="239"/>
      <c r="P965" s="239"/>
      <c r="Q965" s="239"/>
      <c r="R965" s="239"/>
      <c r="S965" s="239"/>
      <c r="T965" s="239"/>
      <c r="U965"/>
      <c r="V965"/>
      <c r="W965"/>
      <c r="X965"/>
      <c r="Y965"/>
      <c r="Z965"/>
      <c r="AA965"/>
    </row>
    <row r="966" spans="1:27" hidden="1" x14ac:dyDescent="0.2">
      <c r="A966" s="240"/>
      <c r="B966" s="318"/>
      <c r="C966" s="240"/>
      <c r="D966" s="241"/>
      <c r="E966" s="270"/>
      <c r="F966" s="271"/>
      <c r="G966" s="239"/>
      <c r="H966" s="239"/>
      <c r="I966" s="239"/>
      <c r="J966" s="239"/>
      <c r="K966" s="239"/>
      <c r="L966" s="239"/>
      <c r="M966" s="239"/>
      <c r="N966" s="239"/>
      <c r="O966" s="239"/>
      <c r="P966" s="239"/>
      <c r="Q966" s="239"/>
      <c r="R966" s="239"/>
      <c r="S966" s="239"/>
      <c r="T966" s="239"/>
      <c r="U966"/>
      <c r="V966"/>
      <c r="W966"/>
      <c r="X966"/>
      <c r="Y966"/>
      <c r="Z966"/>
      <c r="AA966"/>
    </row>
    <row r="967" spans="1:27" hidden="1" x14ac:dyDescent="0.2">
      <c r="A967" s="240"/>
      <c r="B967" s="318"/>
      <c r="C967" s="240"/>
      <c r="D967" s="241"/>
      <c r="E967" s="270"/>
      <c r="F967" s="271"/>
      <c r="G967" s="239"/>
      <c r="H967" s="239"/>
      <c r="I967" s="239"/>
      <c r="J967" s="239"/>
      <c r="K967" s="239"/>
      <c r="L967" s="239"/>
      <c r="M967" s="239"/>
      <c r="N967" s="239"/>
      <c r="O967" s="239"/>
      <c r="P967" s="239"/>
      <c r="Q967" s="239"/>
      <c r="R967" s="239"/>
      <c r="S967" s="239"/>
      <c r="T967" s="239"/>
      <c r="U967"/>
      <c r="V967"/>
      <c r="W967"/>
      <c r="X967"/>
      <c r="Y967"/>
      <c r="Z967"/>
      <c r="AA967"/>
    </row>
    <row r="968" spans="1:27" hidden="1" x14ac:dyDescent="0.2">
      <c r="A968" s="240"/>
      <c r="B968" s="318"/>
      <c r="C968" s="240"/>
      <c r="D968" s="241"/>
      <c r="E968" s="270"/>
      <c r="F968" s="271"/>
      <c r="G968" s="239"/>
      <c r="H968" s="239"/>
      <c r="I968" s="239"/>
      <c r="J968" s="239"/>
      <c r="K968" s="239"/>
      <c r="L968" s="239"/>
      <c r="M968" s="239"/>
      <c r="N968" s="239"/>
      <c r="O968" s="239"/>
      <c r="P968" s="239"/>
      <c r="Q968" s="239"/>
      <c r="R968" s="239"/>
      <c r="S968" s="239"/>
      <c r="T968" s="239"/>
      <c r="U968"/>
      <c r="V968"/>
      <c r="W968"/>
      <c r="X968"/>
      <c r="Y968"/>
      <c r="Z968"/>
      <c r="AA968"/>
    </row>
    <row r="969" spans="1:27" hidden="1" x14ac:dyDescent="0.2">
      <c r="A969" s="240"/>
      <c r="B969" s="318"/>
      <c r="C969" s="240"/>
      <c r="D969" s="241"/>
      <c r="E969" s="270"/>
      <c r="F969" s="271"/>
      <c r="G969" s="239"/>
      <c r="H969" s="239"/>
      <c r="I969" s="239"/>
      <c r="J969" s="239"/>
      <c r="K969" s="239"/>
      <c r="L969" s="239"/>
      <c r="M969" s="239"/>
      <c r="N969" s="239"/>
      <c r="O969" s="239"/>
      <c r="P969" s="239"/>
      <c r="Q969" s="239"/>
      <c r="R969" s="239"/>
      <c r="S969" s="239"/>
      <c r="T969" s="239"/>
      <c r="U969"/>
      <c r="V969"/>
      <c r="W969"/>
      <c r="X969"/>
      <c r="Y969"/>
      <c r="Z969"/>
      <c r="AA969"/>
    </row>
    <row r="970" spans="1:27" hidden="1" x14ac:dyDescent="0.2">
      <c r="A970" s="240"/>
      <c r="B970" s="318"/>
      <c r="C970" s="240"/>
      <c r="D970" s="241"/>
      <c r="E970" s="270"/>
      <c r="F970" s="271"/>
      <c r="G970" s="239"/>
      <c r="H970" s="239"/>
      <c r="I970" s="239"/>
      <c r="J970" s="239"/>
      <c r="K970" s="239"/>
      <c r="L970" s="239"/>
      <c r="M970" s="239"/>
      <c r="N970" s="239"/>
      <c r="O970" s="239"/>
      <c r="P970" s="239"/>
      <c r="Q970" s="239"/>
      <c r="R970" s="239"/>
      <c r="S970" s="239"/>
      <c r="T970" s="239"/>
      <c r="U970"/>
      <c r="V970"/>
      <c r="W970"/>
      <c r="X970"/>
      <c r="Y970"/>
      <c r="Z970"/>
      <c r="AA970"/>
    </row>
    <row r="971" spans="1:27" hidden="1" x14ac:dyDescent="0.2">
      <c r="A971" s="240"/>
      <c r="B971" s="318"/>
      <c r="C971" s="240"/>
      <c r="D971" s="241"/>
      <c r="E971" s="270"/>
      <c r="F971" s="271"/>
      <c r="G971" s="239"/>
      <c r="H971" s="239"/>
      <c r="I971" s="239"/>
      <c r="J971" s="239"/>
      <c r="K971" s="239"/>
      <c r="L971" s="239"/>
      <c r="M971" s="239"/>
      <c r="N971" s="239"/>
      <c r="O971" s="239"/>
      <c r="P971" s="239"/>
      <c r="Q971" s="239"/>
      <c r="R971" s="239"/>
      <c r="S971" s="239"/>
      <c r="T971" s="239"/>
      <c r="U971"/>
      <c r="V971"/>
      <c r="W971"/>
      <c r="X971"/>
      <c r="Y971"/>
      <c r="Z971"/>
      <c r="AA971"/>
    </row>
    <row r="972" spans="1:27" hidden="1" x14ac:dyDescent="0.2">
      <c r="A972" s="240"/>
      <c r="B972" s="318"/>
      <c r="C972" s="240"/>
      <c r="D972" s="241"/>
      <c r="E972" s="270"/>
      <c r="F972" s="271"/>
      <c r="G972" s="239"/>
      <c r="H972" s="239"/>
      <c r="I972" s="239"/>
      <c r="J972" s="239"/>
      <c r="K972" s="239"/>
      <c r="L972" s="239"/>
      <c r="M972" s="239"/>
      <c r="N972" s="239"/>
      <c r="O972" s="239"/>
      <c r="P972" s="239"/>
      <c r="Q972" s="239"/>
      <c r="R972" s="239"/>
      <c r="S972" s="239"/>
      <c r="T972" s="239"/>
      <c r="U972"/>
      <c r="V972"/>
      <c r="W972"/>
      <c r="X972"/>
      <c r="Y972"/>
      <c r="Z972"/>
      <c r="AA972"/>
    </row>
    <row r="973" spans="1:27" hidden="1" x14ac:dyDescent="0.2">
      <c r="A973" s="240"/>
      <c r="B973" s="318"/>
      <c r="C973" s="240"/>
      <c r="D973" s="241"/>
      <c r="E973" s="270"/>
      <c r="F973" s="271"/>
      <c r="G973" s="239"/>
      <c r="H973" s="239"/>
      <c r="I973" s="239"/>
      <c r="J973" s="239"/>
      <c r="K973" s="239"/>
      <c r="L973" s="239"/>
      <c r="M973" s="239"/>
      <c r="N973" s="239"/>
      <c r="O973" s="239"/>
      <c r="P973" s="239"/>
      <c r="Q973" s="239"/>
      <c r="R973" s="239"/>
      <c r="S973" s="239"/>
      <c r="T973" s="239"/>
      <c r="U973"/>
      <c r="V973"/>
      <c r="W973"/>
      <c r="X973"/>
      <c r="Y973"/>
      <c r="Z973"/>
      <c r="AA973"/>
    </row>
    <row r="974" spans="1:27" hidden="1" x14ac:dyDescent="0.2">
      <c r="A974" s="240"/>
      <c r="B974" s="318"/>
      <c r="C974" s="240"/>
      <c r="D974" s="241"/>
      <c r="E974" s="270"/>
      <c r="F974" s="271"/>
      <c r="G974" s="239"/>
      <c r="H974" s="239"/>
      <c r="I974" s="239"/>
      <c r="J974" s="239"/>
      <c r="K974" s="239"/>
      <c r="L974" s="239"/>
      <c r="M974" s="239"/>
      <c r="N974" s="239"/>
      <c r="O974" s="239"/>
      <c r="P974" s="239"/>
      <c r="Q974" s="239"/>
      <c r="R974" s="239"/>
      <c r="S974" s="239"/>
      <c r="T974" s="239"/>
      <c r="U974"/>
      <c r="V974"/>
      <c r="W974"/>
      <c r="X974"/>
      <c r="Y974"/>
      <c r="Z974"/>
      <c r="AA974"/>
    </row>
    <row r="975" spans="1:27" hidden="1" x14ac:dyDescent="0.2">
      <c r="A975" s="240"/>
      <c r="B975" s="318"/>
      <c r="C975" s="240"/>
      <c r="D975" s="241"/>
      <c r="E975" s="270"/>
      <c r="F975" s="271"/>
      <c r="G975" s="239"/>
      <c r="H975" s="239"/>
      <c r="I975" s="239"/>
      <c r="J975" s="239"/>
      <c r="K975" s="239"/>
      <c r="L975" s="239"/>
      <c r="M975" s="239"/>
      <c r="N975" s="239"/>
      <c r="O975" s="239"/>
      <c r="P975" s="239"/>
      <c r="Q975" s="239"/>
      <c r="R975" s="239"/>
      <c r="S975" s="239"/>
      <c r="T975" s="239"/>
      <c r="U975"/>
      <c r="V975"/>
      <c r="W975"/>
      <c r="X975"/>
      <c r="Y975"/>
      <c r="Z975"/>
      <c r="AA975"/>
    </row>
    <row r="976" spans="1:27" hidden="1" x14ac:dyDescent="0.2">
      <c r="A976" s="240"/>
      <c r="B976" s="318"/>
      <c r="C976" s="240"/>
      <c r="D976" s="241"/>
      <c r="E976" s="270"/>
      <c r="F976" s="271"/>
      <c r="G976" s="239"/>
      <c r="H976" s="239"/>
      <c r="I976" s="239"/>
      <c r="J976" s="239"/>
      <c r="K976" s="239"/>
      <c r="L976" s="239"/>
      <c r="M976" s="239"/>
      <c r="N976" s="239"/>
      <c r="O976" s="239"/>
      <c r="P976" s="239"/>
      <c r="Q976" s="239"/>
      <c r="R976" s="239"/>
      <c r="S976" s="239"/>
      <c r="T976" s="239"/>
      <c r="U976"/>
      <c r="V976"/>
      <c r="W976"/>
      <c r="X976"/>
      <c r="Y976"/>
      <c r="Z976"/>
      <c r="AA976"/>
    </row>
    <row r="977" spans="1:27" hidden="1" x14ac:dyDescent="0.2">
      <c r="A977" s="240"/>
      <c r="B977" s="318"/>
      <c r="C977" s="240"/>
      <c r="D977" s="241"/>
      <c r="E977" s="270"/>
      <c r="F977" s="271"/>
      <c r="G977" s="239"/>
      <c r="H977" s="239"/>
      <c r="I977" s="239"/>
      <c r="J977" s="239"/>
      <c r="K977" s="239"/>
      <c r="L977" s="239"/>
      <c r="M977" s="239"/>
      <c r="N977" s="239"/>
      <c r="O977" s="239"/>
      <c r="P977" s="239"/>
      <c r="Q977" s="239"/>
      <c r="R977" s="239"/>
      <c r="S977" s="239"/>
      <c r="T977" s="239"/>
      <c r="U977"/>
      <c r="V977"/>
      <c r="W977"/>
      <c r="X977"/>
      <c r="Y977"/>
      <c r="Z977"/>
      <c r="AA977"/>
    </row>
    <row r="978" spans="1:27" hidden="1" x14ac:dyDescent="0.2">
      <c r="A978" s="240"/>
      <c r="B978" s="318"/>
      <c r="C978" s="240"/>
      <c r="D978" s="241"/>
      <c r="E978" s="270"/>
      <c r="F978" s="271"/>
      <c r="G978" s="239"/>
      <c r="H978" s="239"/>
      <c r="I978" s="239"/>
      <c r="J978" s="239"/>
      <c r="K978" s="239"/>
      <c r="L978" s="239"/>
      <c r="M978" s="239"/>
      <c r="N978" s="239"/>
      <c r="O978" s="239"/>
      <c r="P978" s="239"/>
      <c r="Q978" s="239"/>
      <c r="R978" s="239"/>
      <c r="S978" s="239"/>
      <c r="T978" s="239"/>
      <c r="U978"/>
      <c r="V978"/>
      <c r="W978"/>
      <c r="X978"/>
      <c r="Y978"/>
      <c r="Z978"/>
      <c r="AA978"/>
    </row>
    <row r="979" spans="1:27" hidden="1" x14ac:dyDescent="0.2">
      <c r="A979" s="240"/>
      <c r="B979" s="318"/>
      <c r="C979" s="240"/>
      <c r="D979" s="241"/>
      <c r="E979" s="270"/>
      <c r="F979" s="271"/>
      <c r="G979" s="239"/>
      <c r="H979" s="239"/>
      <c r="I979" s="239"/>
      <c r="J979" s="239"/>
      <c r="K979" s="239"/>
      <c r="L979" s="239"/>
      <c r="M979" s="239"/>
      <c r="N979" s="239"/>
      <c r="O979" s="239"/>
      <c r="P979" s="239"/>
      <c r="Q979" s="239"/>
      <c r="R979" s="239"/>
      <c r="S979" s="239"/>
      <c r="T979" s="239"/>
      <c r="U979"/>
      <c r="V979"/>
      <c r="W979"/>
      <c r="X979"/>
      <c r="Y979"/>
      <c r="Z979"/>
      <c r="AA979"/>
    </row>
    <row r="980" spans="1:27" hidden="1" x14ac:dyDescent="0.2">
      <c r="A980" s="240"/>
      <c r="B980" s="318"/>
      <c r="C980" s="240"/>
      <c r="D980" s="241"/>
      <c r="E980" s="270"/>
      <c r="F980" s="271"/>
      <c r="G980" s="239"/>
      <c r="H980" s="239"/>
      <c r="I980" s="239"/>
      <c r="J980" s="239"/>
      <c r="K980" s="239"/>
      <c r="L980" s="239"/>
      <c r="M980" s="239"/>
      <c r="N980" s="239"/>
      <c r="O980" s="239"/>
      <c r="P980" s="239"/>
      <c r="Q980" s="239"/>
      <c r="R980" s="239"/>
      <c r="S980" s="239"/>
      <c r="T980" s="239"/>
      <c r="U980"/>
      <c r="V980"/>
      <c r="W980"/>
      <c r="X980"/>
      <c r="Y980"/>
      <c r="Z980"/>
      <c r="AA980"/>
    </row>
    <row r="981" spans="1:27" hidden="1" x14ac:dyDescent="0.2">
      <c r="A981" s="240"/>
      <c r="B981" s="318"/>
      <c r="C981" s="240"/>
      <c r="D981" s="241"/>
      <c r="E981" s="270"/>
      <c r="F981" s="271"/>
      <c r="G981" s="239"/>
      <c r="H981" s="239"/>
      <c r="I981" s="239"/>
      <c r="J981" s="239"/>
      <c r="K981" s="239"/>
      <c r="L981" s="239"/>
      <c r="M981" s="239"/>
      <c r="N981" s="239"/>
      <c r="O981" s="239"/>
      <c r="P981" s="239"/>
      <c r="Q981" s="239"/>
      <c r="R981" s="239"/>
      <c r="S981" s="239"/>
      <c r="T981" s="239"/>
      <c r="U981"/>
      <c r="V981"/>
      <c r="W981"/>
      <c r="X981"/>
      <c r="Y981"/>
      <c r="Z981"/>
      <c r="AA981"/>
    </row>
    <row r="982" spans="1:27" hidden="1" x14ac:dyDescent="0.2">
      <c r="A982" s="240"/>
      <c r="B982" s="318"/>
      <c r="C982" s="240"/>
      <c r="D982" s="241"/>
      <c r="E982" s="270"/>
      <c r="F982" s="271"/>
      <c r="G982" s="239"/>
      <c r="H982" s="239"/>
      <c r="I982" s="239"/>
      <c r="J982" s="239"/>
      <c r="K982" s="239"/>
      <c r="L982" s="239"/>
      <c r="M982" s="239"/>
      <c r="N982" s="239"/>
      <c r="O982" s="239"/>
      <c r="P982" s="239"/>
      <c r="Q982" s="239"/>
      <c r="R982" s="239"/>
      <c r="S982" s="239"/>
      <c r="T982" s="239"/>
      <c r="U982"/>
      <c r="V982"/>
      <c r="W982"/>
      <c r="X982"/>
      <c r="Y982"/>
      <c r="Z982"/>
      <c r="AA982"/>
    </row>
    <row r="983" spans="1:27" hidden="1" x14ac:dyDescent="0.2">
      <c r="A983" s="240"/>
      <c r="B983" s="318"/>
      <c r="C983" s="240"/>
      <c r="D983" s="241"/>
      <c r="E983" s="270"/>
      <c r="F983" s="271"/>
      <c r="G983" s="239"/>
      <c r="H983" s="239"/>
      <c r="I983" s="239"/>
      <c r="J983" s="239"/>
      <c r="K983" s="239"/>
      <c r="L983" s="239"/>
      <c r="M983" s="239"/>
      <c r="N983" s="239"/>
      <c r="O983" s="239"/>
      <c r="P983" s="239"/>
      <c r="Q983" s="239"/>
      <c r="R983" s="239"/>
      <c r="S983" s="239"/>
      <c r="T983" s="239"/>
      <c r="U983"/>
      <c r="V983"/>
      <c r="W983"/>
      <c r="X983"/>
      <c r="Y983"/>
      <c r="Z983"/>
      <c r="AA983"/>
    </row>
    <row r="984" spans="1:27" hidden="1" x14ac:dyDescent="0.2">
      <c r="A984" s="240"/>
      <c r="B984" s="318"/>
      <c r="C984" s="240"/>
      <c r="D984" s="241"/>
      <c r="E984" s="270"/>
      <c r="F984" s="271"/>
      <c r="G984" s="239"/>
      <c r="H984" s="239"/>
      <c r="I984" s="239"/>
      <c r="J984" s="239"/>
      <c r="K984" s="239"/>
      <c r="L984" s="239"/>
      <c r="M984" s="239"/>
      <c r="N984" s="239"/>
      <c r="O984" s="239"/>
      <c r="P984" s="239"/>
      <c r="Q984" s="239"/>
      <c r="R984" s="239"/>
      <c r="S984" s="239"/>
      <c r="T984" s="239"/>
      <c r="U984"/>
      <c r="V984"/>
      <c r="W984"/>
      <c r="X984"/>
      <c r="Y984"/>
      <c r="Z984"/>
      <c r="AA984"/>
    </row>
    <row r="985" spans="1:27" hidden="1" x14ac:dyDescent="0.2">
      <c r="A985" s="240"/>
      <c r="B985" s="318"/>
      <c r="C985" s="240"/>
      <c r="D985" s="241"/>
      <c r="E985" s="270"/>
      <c r="F985" s="271"/>
      <c r="G985" s="239"/>
      <c r="H985" s="239"/>
      <c r="I985" s="239"/>
      <c r="J985" s="239"/>
      <c r="K985" s="239"/>
      <c r="L985" s="239"/>
      <c r="M985" s="239"/>
      <c r="N985" s="239"/>
      <c r="O985" s="239"/>
      <c r="P985" s="239"/>
      <c r="Q985" s="239"/>
      <c r="R985" s="239"/>
      <c r="S985" s="239"/>
      <c r="T985" s="239"/>
      <c r="U985"/>
      <c r="V985"/>
      <c r="W985"/>
      <c r="X985"/>
      <c r="Y985"/>
      <c r="Z985"/>
      <c r="AA985"/>
    </row>
    <row r="986" spans="1:27" hidden="1" x14ac:dyDescent="0.2">
      <c r="A986" s="240"/>
      <c r="B986" s="318"/>
      <c r="C986" s="240"/>
      <c r="D986" s="241"/>
      <c r="E986" s="270"/>
      <c r="F986" s="271"/>
      <c r="G986" s="239"/>
      <c r="H986" s="239"/>
      <c r="I986" s="239"/>
      <c r="J986" s="239"/>
      <c r="K986" s="239"/>
      <c r="L986" s="239"/>
      <c r="M986" s="239"/>
      <c r="N986" s="239"/>
      <c r="O986" s="239"/>
      <c r="P986" s="239"/>
      <c r="Q986" s="239"/>
      <c r="R986" s="239"/>
      <c r="S986" s="239"/>
      <c r="T986" s="239"/>
      <c r="U986"/>
      <c r="V986"/>
      <c r="W986"/>
      <c r="X986"/>
      <c r="Y986"/>
      <c r="Z986"/>
      <c r="AA986"/>
    </row>
    <row r="987" spans="1:27" hidden="1" x14ac:dyDescent="0.2">
      <c r="A987" s="240"/>
      <c r="B987" s="318"/>
      <c r="C987" s="240"/>
      <c r="D987" s="241"/>
      <c r="E987" s="270"/>
      <c r="F987" s="271"/>
      <c r="G987" s="239"/>
      <c r="H987" s="239"/>
      <c r="I987" s="239"/>
      <c r="J987" s="239"/>
      <c r="K987" s="239"/>
      <c r="L987" s="239"/>
      <c r="M987" s="239"/>
      <c r="N987" s="239"/>
      <c r="O987" s="239"/>
      <c r="P987" s="239"/>
      <c r="Q987" s="239"/>
      <c r="R987" s="239"/>
      <c r="S987" s="239"/>
      <c r="T987" s="239"/>
      <c r="U987"/>
      <c r="V987"/>
      <c r="W987"/>
      <c r="X987"/>
      <c r="Y987"/>
      <c r="Z987"/>
      <c r="AA987"/>
    </row>
    <row r="988" spans="1:27" hidden="1" x14ac:dyDescent="0.2">
      <c r="A988" s="240"/>
      <c r="B988" s="318"/>
      <c r="C988" s="240"/>
      <c r="D988" s="241"/>
      <c r="E988" s="270"/>
      <c r="F988" s="271"/>
      <c r="G988" s="239"/>
      <c r="H988" s="239"/>
      <c r="I988" s="239"/>
      <c r="J988" s="239"/>
      <c r="K988" s="239"/>
      <c r="L988" s="239"/>
      <c r="M988" s="239"/>
      <c r="N988" s="239"/>
      <c r="O988" s="239"/>
      <c r="P988" s="239"/>
      <c r="Q988" s="239"/>
      <c r="R988" s="239"/>
      <c r="S988" s="239"/>
      <c r="T988" s="239"/>
      <c r="U988"/>
      <c r="V988"/>
      <c r="W988"/>
      <c r="X988"/>
      <c r="Y988"/>
      <c r="Z988"/>
      <c r="AA988"/>
    </row>
    <row r="989" spans="1:27" hidden="1" x14ac:dyDescent="0.2">
      <c r="A989" s="240"/>
      <c r="B989" s="318"/>
      <c r="C989" s="240"/>
      <c r="D989" s="241"/>
      <c r="E989" s="270"/>
      <c r="F989" s="271"/>
      <c r="G989" s="239"/>
      <c r="H989" s="239"/>
      <c r="I989" s="239"/>
      <c r="J989" s="239"/>
      <c r="K989" s="239"/>
      <c r="L989" s="239"/>
      <c r="M989" s="239"/>
      <c r="N989" s="239"/>
      <c r="O989" s="239"/>
      <c r="P989" s="239"/>
      <c r="Q989" s="239"/>
      <c r="R989" s="239"/>
      <c r="S989" s="239"/>
      <c r="T989" s="239"/>
      <c r="U989"/>
      <c r="V989"/>
      <c r="W989"/>
      <c r="X989"/>
      <c r="Y989"/>
      <c r="Z989"/>
      <c r="AA989"/>
    </row>
    <row r="990" spans="1:27" hidden="1" x14ac:dyDescent="0.2">
      <c r="A990" s="240"/>
      <c r="B990" s="318"/>
      <c r="C990" s="240"/>
      <c r="D990" s="241"/>
      <c r="E990" s="270"/>
      <c r="F990" s="271"/>
      <c r="G990" s="239"/>
      <c r="H990" s="239"/>
      <c r="I990" s="239"/>
      <c r="J990" s="239"/>
      <c r="K990" s="239"/>
      <c r="L990" s="239"/>
      <c r="M990" s="239"/>
      <c r="N990" s="239"/>
      <c r="O990" s="239"/>
      <c r="P990" s="239"/>
      <c r="Q990" s="239"/>
      <c r="R990" s="239"/>
      <c r="S990" s="239"/>
      <c r="T990" s="239"/>
      <c r="U990"/>
      <c r="V990"/>
      <c r="W990"/>
      <c r="X990"/>
      <c r="Y990"/>
      <c r="Z990"/>
      <c r="AA990"/>
    </row>
    <row r="991" spans="1:27" hidden="1" x14ac:dyDescent="0.2">
      <c r="A991" s="240"/>
      <c r="B991" s="318"/>
      <c r="C991" s="240"/>
      <c r="D991" s="241"/>
      <c r="E991" s="270"/>
      <c r="F991" s="271"/>
      <c r="G991" s="239"/>
      <c r="H991" s="239"/>
      <c r="I991" s="239"/>
      <c r="J991" s="239"/>
      <c r="K991" s="239"/>
      <c r="L991" s="239"/>
      <c r="M991" s="239"/>
      <c r="N991" s="239"/>
      <c r="O991" s="239"/>
      <c r="P991" s="239"/>
      <c r="Q991" s="239"/>
      <c r="R991" s="239"/>
      <c r="S991" s="239"/>
      <c r="T991" s="239"/>
      <c r="U991"/>
      <c r="V991"/>
      <c r="W991"/>
      <c r="X991"/>
      <c r="Y991"/>
      <c r="Z991"/>
      <c r="AA991"/>
    </row>
    <row r="992" spans="1:27" hidden="1" x14ac:dyDescent="0.2">
      <c r="A992" s="240"/>
      <c r="B992" s="318"/>
      <c r="C992" s="240"/>
      <c r="D992" s="241"/>
      <c r="E992" s="270"/>
      <c r="F992" s="271"/>
      <c r="G992" s="239"/>
      <c r="H992" s="239"/>
      <c r="I992" s="239"/>
      <c r="J992" s="239"/>
      <c r="K992" s="239"/>
      <c r="L992" s="239"/>
      <c r="M992" s="239"/>
      <c r="N992" s="239"/>
      <c r="O992" s="239"/>
      <c r="P992" s="239"/>
      <c r="Q992" s="239"/>
      <c r="R992" s="239"/>
      <c r="S992" s="239"/>
      <c r="T992" s="239"/>
      <c r="U992"/>
      <c r="V992"/>
      <c r="W992"/>
      <c r="X992"/>
      <c r="Y992"/>
      <c r="Z992"/>
      <c r="AA992"/>
    </row>
    <row r="993" spans="1:27" hidden="1" x14ac:dyDescent="0.2">
      <c r="A993" s="240"/>
      <c r="B993" s="318"/>
      <c r="C993" s="240"/>
      <c r="D993" s="241"/>
      <c r="E993" s="270"/>
      <c r="F993" s="271"/>
      <c r="G993" s="239"/>
      <c r="H993" s="239"/>
      <c r="I993" s="239"/>
      <c r="J993" s="239"/>
      <c r="K993" s="239"/>
      <c r="L993" s="239"/>
      <c r="M993" s="239"/>
      <c r="N993" s="239"/>
      <c r="O993" s="239"/>
      <c r="P993" s="239"/>
      <c r="Q993" s="239"/>
      <c r="R993" s="239"/>
      <c r="S993" s="239"/>
      <c r="T993" s="239"/>
      <c r="U993"/>
      <c r="V993"/>
      <c r="W993"/>
      <c r="X993"/>
      <c r="Y993"/>
      <c r="Z993"/>
      <c r="AA993"/>
    </row>
    <row r="994" spans="1:27" hidden="1" x14ac:dyDescent="0.2">
      <c r="A994" s="240"/>
      <c r="B994" s="318"/>
      <c r="C994" s="240"/>
      <c r="D994" s="241"/>
      <c r="E994" s="270"/>
      <c r="F994" s="271"/>
      <c r="G994" s="239"/>
      <c r="H994" s="239"/>
      <c r="I994" s="239"/>
      <c r="J994" s="239"/>
      <c r="K994" s="239"/>
      <c r="L994" s="239"/>
      <c r="M994" s="239"/>
      <c r="N994" s="239"/>
      <c r="O994" s="239"/>
      <c r="P994" s="239"/>
      <c r="Q994" s="239"/>
      <c r="R994" s="239"/>
      <c r="S994" s="239"/>
      <c r="T994" s="239"/>
      <c r="U994"/>
      <c r="V994"/>
      <c r="W994"/>
      <c r="X994"/>
      <c r="Y994"/>
      <c r="Z994"/>
      <c r="AA994"/>
    </row>
    <row r="995" spans="1:27" hidden="1" x14ac:dyDescent="0.2">
      <c r="A995" s="240"/>
      <c r="B995" s="318"/>
      <c r="C995" s="240"/>
      <c r="D995" s="241"/>
      <c r="E995" s="270"/>
      <c r="F995" s="271"/>
      <c r="G995" s="239"/>
      <c r="H995" s="239"/>
      <c r="I995" s="239"/>
      <c r="J995" s="239"/>
      <c r="K995" s="239"/>
      <c r="L995" s="239"/>
      <c r="M995" s="239"/>
      <c r="N995" s="239"/>
      <c r="O995" s="239"/>
      <c r="P995" s="239"/>
      <c r="Q995" s="239"/>
      <c r="R995" s="239"/>
      <c r="S995" s="239"/>
      <c r="T995" s="239"/>
      <c r="U995"/>
      <c r="V995"/>
      <c r="W995"/>
      <c r="X995"/>
      <c r="Y995"/>
      <c r="Z995"/>
      <c r="AA995"/>
    </row>
    <row r="996" spans="1:27" hidden="1" x14ac:dyDescent="0.2">
      <c r="A996" s="240"/>
      <c r="B996" s="318"/>
      <c r="C996" s="240"/>
      <c r="D996" s="241"/>
      <c r="E996" s="270"/>
      <c r="F996" s="271"/>
      <c r="G996" s="239"/>
      <c r="H996" s="239"/>
      <c r="I996" s="239"/>
      <c r="J996" s="239"/>
      <c r="K996" s="239"/>
      <c r="L996" s="239"/>
      <c r="M996" s="239"/>
      <c r="N996" s="239"/>
      <c r="O996" s="239"/>
      <c r="P996" s="239"/>
      <c r="Q996" s="239"/>
      <c r="R996" s="239"/>
      <c r="S996" s="239"/>
      <c r="T996" s="239"/>
      <c r="U996"/>
      <c r="V996"/>
      <c r="W996"/>
      <c r="X996"/>
      <c r="Y996"/>
      <c r="Z996"/>
      <c r="AA996"/>
    </row>
    <row r="997" spans="1:27" hidden="1" x14ac:dyDescent="0.2">
      <c r="A997" s="240"/>
      <c r="B997" s="318"/>
      <c r="C997" s="240"/>
      <c r="D997" s="241"/>
      <c r="E997" s="270"/>
      <c r="F997" s="271"/>
      <c r="G997" s="239"/>
      <c r="H997" s="239"/>
      <c r="I997" s="239"/>
      <c r="J997" s="239"/>
      <c r="K997" s="239"/>
      <c r="L997" s="239"/>
      <c r="M997" s="239"/>
      <c r="N997" s="239"/>
      <c r="O997" s="239"/>
      <c r="P997" s="239"/>
      <c r="Q997" s="239"/>
      <c r="R997" s="239"/>
      <c r="S997" s="239"/>
      <c r="T997" s="239"/>
      <c r="U997"/>
      <c r="V997"/>
      <c r="W997"/>
      <c r="X997"/>
      <c r="Y997"/>
      <c r="Z997"/>
      <c r="AA997"/>
    </row>
    <row r="998" spans="1:27" hidden="1" x14ac:dyDescent="0.2">
      <c r="A998" s="240"/>
      <c r="B998" s="318"/>
      <c r="C998" s="240"/>
      <c r="D998" s="241"/>
      <c r="E998" s="270"/>
      <c r="F998" s="271"/>
      <c r="G998" s="239"/>
      <c r="H998" s="239"/>
      <c r="I998" s="239"/>
      <c r="J998" s="239"/>
      <c r="K998" s="239"/>
      <c r="L998" s="239"/>
      <c r="M998" s="239"/>
      <c r="N998" s="239"/>
      <c r="O998" s="239"/>
      <c r="P998" s="239"/>
      <c r="Q998" s="239"/>
      <c r="R998" s="239"/>
      <c r="S998" s="239"/>
      <c r="T998" s="239"/>
      <c r="U998"/>
      <c r="V998"/>
      <c r="W998"/>
      <c r="X998"/>
      <c r="Y998"/>
      <c r="Z998"/>
      <c r="AA998"/>
    </row>
    <row r="999" spans="1:27" hidden="1" x14ac:dyDescent="0.2">
      <c r="A999" s="240"/>
      <c r="B999" s="318"/>
      <c r="C999" s="240"/>
      <c r="D999" s="241"/>
      <c r="E999" s="270"/>
      <c r="F999" s="271"/>
      <c r="G999" s="239"/>
      <c r="H999" s="239"/>
      <c r="I999" s="239"/>
      <c r="J999" s="239"/>
      <c r="K999" s="239"/>
      <c r="L999" s="239"/>
      <c r="M999" s="239"/>
      <c r="N999" s="239"/>
      <c r="O999" s="239"/>
      <c r="P999" s="239"/>
      <c r="Q999" s="239"/>
      <c r="R999" s="239"/>
      <c r="S999" s="239"/>
      <c r="T999" s="239"/>
      <c r="U999"/>
      <c r="V999"/>
      <c r="W999"/>
      <c r="X999"/>
      <c r="Y999"/>
      <c r="Z999"/>
      <c r="AA999"/>
    </row>
    <row r="1000" spans="1:27" hidden="1" x14ac:dyDescent="0.2">
      <c r="A1000" s="240"/>
      <c r="B1000" s="318"/>
      <c r="C1000" s="240"/>
      <c r="D1000" s="241"/>
      <c r="E1000" s="270"/>
      <c r="F1000" s="271"/>
      <c r="G1000" s="239"/>
      <c r="H1000" s="239"/>
      <c r="I1000" s="239"/>
      <c r="J1000" s="239"/>
      <c r="K1000" s="239"/>
      <c r="L1000" s="239"/>
      <c r="M1000" s="239"/>
      <c r="N1000" s="239"/>
      <c r="O1000" s="239"/>
      <c r="P1000" s="239"/>
      <c r="Q1000" s="239"/>
      <c r="R1000" s="239"/>
      <c r="S1000" s="239"/>
      <c r="T1000" s="239"/>
      <c r="U1000"/>
      <c r="V1000"/>
      <c r="W1000"/>
      <c r="X1000"/>
      <c r="Y1000"/>
      <c r="Z1000"/>
      <c r="AA1000"/>
    </row>
    <row r="1001" spans="1:27" hidden="1" x14ac:dyDescent="0.2">
      <c r="A1001" s="240"/>
      <c r="B1001" s="318"/>
      <c r="C1001" s="240"/>
      <c r="D1001" s="241"/>
      <c r="E1001" s="270"/>
      <c r="F1001" s="271"/>
      <c r="G1001" s="239"/>
      <c r="H1001" s="239"/>
      <c r="I1001" s="239"/>
      <c r="J1001" s="239"/>
      <c r="K1001" s="239"/>
      <c r="L1001" s="239"/>
      <c r="M1001" s="239"/>
      <c r="N1001" s="239"/>
      <c r="O1001" s="239"/>
      <c r="P1001" s="239"/>
      <c r="Q1001" s="239"/>
      <c r="R1001" s="239"/>
      <c r="S1001" s="239"/>
      <c r="T1001" s="239"/>
      <c r="U1001"/>
      <c r="V1001"/>
      <c r="W1001"/>
      <c r="X1001"/>
      <c r="Y1001"/>
      <c r="Z1001"/>
      <c r="AA1001"/>
    </row>
    <row r="1002" spans="1:27" hidden="1" x14ac:dyDescent="0.2">
      <c r="A1002" s="240"/>
      <c r="B1002" s="318"/>
      <c r="C1002" s="240"/>
      <c r="D1002" s="241"/>
      <c r="E1002" s="270"/>
      <c r="F1002" s="271"/>
      <c r="G1002" s="239"/>
      <c r="H1002" s="239"/>
      <c r="I1002" s="239"/>
      <c r="J1002" s="239"/>
      <c r="K1002" s="239"/>
      <c r="L1002" s="239"/>
      <c r="M1002" s="239"/>
      <c r="N1002" s="239"/>
      <c r="O1002" s="239"/>
      <c r="P1002" s="239"/>
      <c r="Q1002" s="239"/>
      <c r="R1002" s="239"/>
      <c r="S1002" s="239"/>
      <c r="T1002" s="239"/>
      <c r="U1002"/>
      <c r="V1002"/>
      <c r="W1002"/>
      <c r="X1002"/>
      <c r="Y1002"/>
      <c r="Z1002"/>
      <c r="AA1002"/>
    </row>
    <row r="1003" spans="1:27" hidden="1" x14ac:dyDescent="0.2">
      <c r="A1003" s="240"/>
      <c r="B1003" s="318"/>
      <c r="C1003" s="240"/>
      <c r="D1003" s="241"/>
      <c r="E1003" s="270"/>
      <c r="F1003" s="271"/>
      <c r="G1003" s="239"/>
      <c r="H1003" s="239"/>
      <c r="I1003" s="239"/>
      <c r="J1003" s="239"/>
      <c r="K1003" s="239"/>
      <c r="L1003" s="239"/>
      <c r="M1003" s="239"/>
      <c r="N1003" s="239"/>
      <c r="O1003" s="239"/>
      <c r="P1003" s="239"/>
      <c r="Q1003" s="239"/>
      <c r="R1003" s="239"/>
      <c r="S1003" s="239"/>
      <c r="T1003" s="239"/>
      <c r="U1003"/>
      <c r="V1003"/>
      <c r="W1003"/>
      <c r="X1003"/>
      <c r="Y1003"/>
      <c r="Z1003"/>
      <c r="AA1003"/>
    </row>
    <row r="1004" spans="1:27" hidden="1" x14ac:dyDescent="0.2">
      <c r="A1004" s="240"/>
      <c r="B1004" s="318"/>
      <c r="C1004" s="240"/>
      <c r="D1004" s="241"/>
      <c r="E1004" s="270"/>
      <c r="F1004" s="271"/>
      <c r="G1004" s="239"/>
      <c r="H1004" s="239"/>
      <c r="I1004" s="239"/>
      <c r="J1004" s="239"/>
      <c r="K1004" s="239"/>
      <c r="L1004" s="239"/>
      <c r="M1004" s="239"/>
      <c r="N1004" s="239"/>
      <c r="O1004" s="239"/>
      <c r="P1004" s="239"/>
      <c r="Q1004" s="239"/>
      <c r="R1004" s="239"/>
      <c r="S1004" s="239"/>
      <c r="T1004" s="239"/>
      <c r="U1004"/>
      <c r="V1004"/>
      <c r="W1004"/>
      <c r="X1004"/>
      <c r="Y1004"/>
      <c r="Z1004"/>
      <c r="AA1004"/>
    </row>
    <row r="1005" spans="1:27" hidden="1" x14ac:dyDescent="0.2">
      <c r="A1005" s="240"/>
      <c r="B1005" s="318"/>
      <c r="C1005" s="240"/>
      <c r="D1005" s="241"/>
      <c r="E1005" s="270"/>
      <c r="F1005" s="271"/>
      <c r="G1005" s="239"/>
      <c r="H1005" s="239"/>
      <c r="I1005" s="239"/>
      <c r="J1005" s="239"/>
      <c r="K1005" s="239"/>
      <c r="L1005" s="239"/>
      <c r="M1005" s="239"/>
      <c r="N1005" s="239"/>
      <c r="O1005" s="239"/>
      <c r="P1005" s="239"/>
      <c r="Q1005" s="239"/>
      <c r="R1005" s="239"/>
      <c r="S1005" s="239"/>
      <c r="T1005" s="239"/>
      <c r="U1005"/>
      <c r="V1005"/>
      <c r="W1005"/>
      <c r="X1005"/>
      <c r="Y1005"/>
      <c r="Z1005"/>
      <c r="AA1005"/>
    </row>
    <row r="1006" spans="1:27" hidden="1" x14ac:dyDescent="0.2">
      <c r="A1006" s="240"/>
      <c r="B1006" s="318"/>
      <c r="C1006" s="240"/>
      <c r="D1006" s="241"/>
      <c r="E1006" s="270"/>
      <c r="F1006" s="271"/>
      <c r="G1006" s="239"/>
      <c r="H1006" s="239"/>
      <c r="I1006" s="239"/>
      <c r="J1006" s="239"/>
      <c r="K1006" s="239"/>
      <c r="L1006" s="239"/>
      <c r="M1006" s="239"/>
      <c r="N1006" s="239"/>
      <c r="O1006" s="239"/>
      <c r="P1006" s="239"/>
      <c r="Q1006" s="239"/>
      <c r="R1006" s="239"/>
      <c r="S1006" s="239"/>
      <c r="T1006" s="239"/>
      <c r="U1006"/>
      <c r="V1006"/>
      <c r="W1006"/>
      <c r="X1006"/>
      <c r="Y1006"/>
      <c r="Z1006"/>
      <c r="AA1006"/>
    </row>
    <row r="1007" spans="1:27" hidden="1" x14ac:dyDescent="0.2">
      <c r="A1007" s="240"/>
      <c r="B1007" s="318"/>
      <c r="C1007" s="240"/>
      <c r="D1007" s="241"/>
      <c r="E1007" s="270"/>
      <c r="F1007" s="271"/>
      <c r="G1007" s="239"/>
      <c r="H1007" s="239"/>
      <c r="I1007" s="239"/>
      <c r="J1007" s="239"/>
      <c r="K1007" s="239"/>
      <c r="L1007" s="239"/>
      <c r="M1007" s="239"/>
      <c r="N1007" s="239"/>
      <c r="O1007" s="239"/>
      <c r="P1007" s="239"/>
      <c r="Q1007" s="239"/>
      <c r="R1007" s="239"/>
      <c r="S1007" s="239"/>
      <c r="T1007" s="239"/>
      <c r="U1007"/>
      <c r="V1007"/>
      <c r="W1007"/>
      <c r="X1007"/>
      <c r="Y1007"/>
      <c r="Z1007"/>
      <c r="AA1007"/>
    </row>
    <row r="1008" spans="1:27" hidden="1" x14ac:dyDescent="0.2">
      <c r="A1008" s="240"/>
      <c r="B1008" s="318"/>
      <c r="C1008" s="240"/>
      <c r="D1008" s="241"/>
      <c r="E1008" s="270"/>
      <c r="F1008" s="271"/>
      <c r="G1008" s="239"/>
      <c r="H1008" s="239"/>
      <c r="I1008" s="239"/>
      <c r="J1008" s="239"/>
      <c r="K1008" s="239"/>
      <c r="L1008" s="239"/>
      <c r="M1008" s="239"/>
      <c r="N1008" s="239"/>
      <c r="O1008" s="239"/>
      <c r="P1008" s="239"/>
      <c r="Q1008" s="239"/>
      <c r="R1008" s="239"/>
      <c r="S1008" s="239"/>
      <c r="T1008" s="239"/>
      <c r="U1008"/>
      <c r="V1008"/>
      <c r="W1008"/>
      <c r="X1008"/>
      <c r="Y1008"/>
      <c r="Z1008"/>
      <c r="AA1008"/>
    </row>
    <row r="1009" spans="1:27" hidden="1" x14ac:dyDescent="0.2">
      <c r="A1009" s="240"/>
      <c r="B1009" s="318"/>
      <c r="C1009" s="240"/>
      <c r="D1009" s="241"/>
      <c r="E1009" s="270"/>
      <c r="F1009" s="271"/>
      <c r="G1009" s="239"/>
      <c r="H1009" s="239"/>
      <c r="I1009" s="239"/>
      <c r="J1009" s="239"/>
      <c r="K1009" s="239"/>
      <c r="L1009" s="239"/>
      <c r="M1009" s="239"/>
      <c r="N1009" s="239"/>
      <c r="O1009" s="239"/>
      <c r="P1009" s="239"/>
      <c r="Q1009" s="239"/>
      <c r="R1009" s="239"/>
      <c r="S1009" s="239"/>
      <c r="T1009" s="239"/>
      <c r="U1009"/>
      <c r="V1009"/>
      <c r="W1009"/>
      <c r="X1009"/>
      <c r="Y1009"/>
      <c r="Z1009"/>
      <c r="AA1009"/>
    </row>
    <row r="1010" spans="1:27" hidden="1" x14ac:dyDescent="0.2">
      <c r="A1010" s="240"/>
      <c r="B1010" s="318"/>
      <c r="C1010" s="240"/>
      <c r="D1010" s="241"/>
      <c r="E1010" s="270"/>
      <c r="F1010" s="271"/>
      <c r="G1010" s="239"/>
      <c r="H1010" s="239"/>
      <c r="I1010" s="239"/>
      <c r="J1010" s="239"/>
      <c r="K1010" s="239"/>
      <c r="L1010" s="239"/>
      <c r="M1010" s="239"/>
      <c r="N1010" s="239"/>
      <c r="O1010" s="239"/>
      <c r="P1010" s="239"/>
      <c r="Q1010" s="239"/>
      <c r="R1010" s="239"/>
      <c r="S1010" s="239"/>
      <c r="T1010" s="239"/>
      <c r="U1010"/>
      <c r="V1010"/>
      <c r="W1010"/>
      <c r="X1010"/>
      <c r="Y1010"/>
      <c r="Z1010"/>
      <c r="AA1010"/>
    </row>
    <row r="1011" spans="1:27" hidden="1" x14ac:dyDescent="0.2">
      <c r="A1011" s="240"/>
      <c r="B1011" s="318"/>
      <c r="C1011" s="240"/>
      <c r="D1011" s="241"/>
      <c r="E1011" s="270"/>
      <c r="F1011" s="271"/>
      <c r="G1011" s="239"/>
      <c r="H1011" s="239"/>
      <c r="I1011" s="239"/>
      <c r="J1011" s="239"/>
      <c r="K1011" s="239"/>
      <c r="L1011" s="239"/>
      <c r="M1011" s="239"/>
      <c r="N1011" s="239"/>
      <c r="O1011" s="239"/>
      <c r="P1011" s="239"/>
      <c r="Q1011" s="239"/>
      <c r="R1011" s="239"/>
      <c r="S1011" s="239"/>
      <c r="T1011" s="239"/>
      <c r="U1011"/>
      <c r="V1011"/>
      <c r="W1011"/>
      <c r="X1011"/>
      <c r="Y1011"/>
      <c r="Z1011"/>
      <c r="AA1011"/>
    </row>
    <row r="1012" spans="1:27" hidden="1" x14ac:dyDescent="0.2">
      <c r="A1012" s="240"/>
      <c r="B1012" s="318"/>
      <c r="C1012" s="240"/>
      <c r="D1012" s="241"/>
      <c r="E1012" s="270"/>
      <c r="F1012" s="271"/>
      <c r="G1012" s="239"/>
      <c r="H1012" s="239"/>
      <c r="I1012" s="239"/>
      <c r="J1012" s="239"/>
      <c r="K1012" s="239"/>
      <c r="L1012" s="239"/>
      <c r="M1012" s="239"/>
      <c r="N1012" s="239"/>
      <c r="O1012" s="239"/>
      <c r="P1012" s="239"/>
      <c r="Q1012" s="239"/>
      <c r="R1012" s="239"/>
      <c r="S1012" s="239"/>
      <c r="T1012" s="239"/>
      <c r="U1012"/>
      <c r="V1012"/>
      <c r="W1012"/>
      <c r="X1012"/>
      <c r="Y1012"/>
      <c r="Z1012"/>
      <c r="AA1012"/>
    </row>
    <row r="1013" spans="1:27" hidden="1" x14ac:dyDescent="0.2">
      <c r="A1013" s="240"/>
      <c r="B1013" s="318"/>
      <c r="C1013" s="240"/>
      <c r="D1013" s="241"/>
      <c r="E1013" s="270"/>
      <c r="F1013" s="271"/>
      <c r="G1013" s="239"/>
      <c r="H1013" s="239"/>
      <c r="I1013" s="239"/>
      <c r="J1013" s="239"/>
      <c r="K1013" s="239"/>
      <c r="L1013" s="239"/>
      <c r="M1013" s="239"/>
      <c r="N1013" s="239"/>
      <c r="O1013" s="239"/>
      <c r="P1013" s="239"/>
      <c r="Q1013" s="239"/>
      <c r="R1013" s="239"/>
      <c r="S1013" s="239"/>
      <c r="T1013" s="239"/>
      <c r="U1013"/>
      <c r="V1013"/>
      <c r="W1013"/>
      <c r="X1013"/>
      <c r="Y1013"/>
      <c r="Z1013"/>
      <c r="AA1013"/>
    </row>
    <row r="1014" spans="1:27" hidden="1" x14ac:dyDescent="0.2">
      <c r="A1014" s="240"/>
      <c r="B1014" s="318"/>
      <c r="C1014" s="240"/>
      <c r="D1014" s="241"/>
      <c r="E1014" s="270"/>
      <c r="F1014" s="271"/>
      <c r="G1014" s="239"/>
      <c r="H1014" s="239"/>
      <c r="I1014" s="239"/>
      <c r="J1014" s="239"/>
      <c r="K1014" s="239"/>
      <c r="L1014" s="239"/>
      <c r="M1014" s="239"/>
      <c r="N1014" s="239"/>
      <c r="O1014" s="239"/>
      <c r="P1014" s="239"/>
      <c r="Q1014" s="239"/>
      <c r="R1014" s="239"/>
      <c r="S1014" s="239"/>
      <c r="T1014" s="239"/>
      <c r="U1014"/>
      <c r="V1014"/>
      <c r="W1014"/>
      <c r="X1014"/>
      <c r="Y1014"/>
      <c r="Z1014"/>
      <c r="AA1014"/>
    </row>
    <row r="1015" spans="1:27" hidden="1" x14ac:dyDescent="0.2">
      <c r="A1015" s="240"/>
      <c r="B1015" s="318"/>
      <c r="C1015" s="240"/>
      <c r="D1015" s="241"/>
      <c r="E1015" s="270"/>
      <c r="F1015" s="271"/>
      <c r="G1015" s="239"/>
      <c r="H1015" s="239"/>
      <c r="I1015" s="239"/>
      <c r="J1015" s="239"/>
      <c r="K1015" s="239"/>
      <c r="L1015" s="239"/>
      <c r="M1015" s="239"/>
      <c r="N1015" s="239"/>
      <c r="O1015" s="239"/>
      <c r="P1015" s="239"/>
      <c r="Q1015" s="239"/>
      <c r="R1015" s="239"/>
      <c r="S1015" s="239"/>
      <c r="T1015" s="239"/>
      <c r="U1015"/>
      <c r="V1015"/>
      <c r="W1015"/>
      <c r="X1015"/>
      <c r="Y1015"/>
      <c r="Z1015"/>
      <c r="AA1015"/>
    </row>
    <row r="1016" spans="1:27" hidden="1" x14ac:dyDescent="0.2">
      <c r="A1016" s="240"/>
      <c r="B1016" s="318"/>
      <c r="C1016" s="240"/>
      <c r="D1016" s="241"/>
      <c r="E1016" s="270"/>
      <c r="F1016" s="271"/>
      <c r="G1016" s="239"/>
      <c r="H1016" s="239"/>
      <c r="I1016" s="239"/>
      <c r="J1016" s="239"/>
      <c r="K1016" s="239"/>
      <c r="L1016" s="239"/>
      <c r="M1016" s="239"/>
      <c r="N1016" s="239"/>
      <c r="O1016" s="239"/>
      <c r="P1016" s="239"/>
      <c r="Q1016" s="239"/>
      <c r="R1016" s="239"/>
      <c r="S1016" s="239"/>
      <c r="T1016" s="239"/>
      <c r="U1016"/>
      <c r="V1016"/>
      <c r="W1016"/>
      <c r="X1016"/>
      <c r="Y1016"/>
      <c r="Z1016"/>
      <c r="AA1016"/>
    </row>
    <row r="1017" spans="1:27" hidden="1" x14ac:dyDescent="0.2">
      <c r="A1017" s="240"/>
      <c r="B1017" s="318"/>
      <c r="C1017" s="240"/>
      <c r="D1017" s="241"/>
      <c r="E1017" s="270"/>
      <c r="F1017" s="271"/>
      <c r="G1017" s="239"/>
      <c r="H1017" s="239"/>
      <c r="I1017" s="239"/>
      <c r="J1017" s="239"/>
      <c r="K1017" s="239"/>
      <c r="L1017" s="239"/>
      <c r="M1017" s="239"/>
      <c r="N1017" s="239"/>
      <c r="O1017" s="239"/>
      <c r="P1017" s="239"/>
      <c r="Q1017" s="239"/>
      <c r="R1017" s="239"/>
      <c r="S1017" s="239"/>
      <c r="T1017" s="239"/>
      <c r="U1017"/>
      <c r="V1017"/>
      <c r="W1017"/>
      <c r="X1017"/>
      <c r="Y1017"/>
      <c r="Z1017"/>
      <c r="AA1017"/>
    </row>
    <row r="1018" spans="1:27" hidden="1" x14ac:dyDescent="0.2">
      <c r="A1018" s="240"/>
      <c r="B1018" s="318"/>
      <c r="C1018" s="240"/>
      <c r="D1018" s="241"/>
      <c r="E1018" s="270"/>
      <c r="F1018" s="271"/>
      <c r="G1018" s="239"/>
      <c r="H1018" s="239"/>
      <c r="I1018" s="239"/>
      <c r="J1018" s="239"/>
      <c r="K1018" s="239"/>
      <c r="L1018" s="239"/>
      <c r="M1018" s="239"/>
      <c r="N1018" s="239"/>
      <c r="O1018" s="239"/>
      <c r="P1018" s="239"/>
      <c r="Q1018" s="239"/>
      <c r="R1018" s="239"/>
      <c r="S1018" s="239"/>
      <c r="T1018" s="239"/>
      <c r="U1018"/>
      <c r="V1018"/>
      <c r="W1018"/>
      <c r="X1018"/>
      <c r="Y1018"/>
      <c r="Z1018"/>
      <c r="AA1018"/>
    </row>
    <row r="1019" spans="1:27" hidden="1" x14ac:dyDescent="0.2">
      <c r="A1019" s="240"/>
      <c r="B1019" s="318"/>
      <c r="C1019" s="240"/>
      <c r="D1019" s="241"/>
      <c r="E1019" s="270"/>
      <c r="F1019" s="271"/>
      <c r="G1019" s="239"/>
      <c r="H1019" s="239"/>
      <c r="I1019" s="239"/>
      <c r="J1019" s="239"/>
      <c r="K1019" s="239"/>
      <c r="L1019" s="239"/>
      <c r="M1019" s="239"/>
      <c r="N1019" s="239"/>
      <c r="O1019" s="239"/>
      <c r="P1019" s="239"/>
      <c r="Q1019" s="239"/>
      <c r="R1019" s="239"/>
      <c r="S1019" s="239"/>
      <c r="T1019" s="239"/>
      <c r="U1019"/>
      <c r="V1019"/>
      <c r="W1019"/>
      <c r="X1019"/>
      <c r="Y1019"/>
      <c r="Z1019"/>
      <c r="AA1019"/>
    </row>
  </sheetData>
  <autoFilter ref="A1:DK1019">
    <filterColumn colId="3">
      <filters>
        <filter val="Yes"/>
      </filters>
    </filterColumn>
    <sortState ref="A3:DK1019">
      <sortCondition descending="1" ref="F1:F1018"/>
    </sortState>
  </autoFilter>
  <sortState ref="A2:BZ1009">
    <sortCondition ref="A1"/>
  </sortState>
  <customSheetViews>
    <customSheetView guid="{F6731307-C738-4B81-929D-C14136A8C5CD}" filter="1" showAutoFilter="1">
      <pane xSplit="1" topLeftCell="B1" activePane="topRight" state="frozen"/>
      <selection pane="topRight" activeCell="CX1036" sqref="CX1036"/>
      <pageMargins left="0.7" right="0.7" top="0.75" bottom="0.75" header="0.3" footer="0.3"/>
      <autoFilter ref="A1:X1019">
        <filterColumn colId="2">
          <filters blank="1">
            <filter val="L1"/>
            <filter val="L2"/>
            <filter val="New"/>
            <filter val="Train"/>
          </filters>
        </filterColumn>
        <filterColumn colId="3">
          <filters>
            <filter val="Yes"/>
          </filters>
        </filterColumn>
        <sortState ref="A3:X1019">
          <sortCondition ref="A1:A1000"/>
        </sortState>
      </autoFilter>
    </customSheetView>
    <customSheetView guid="{0F3AF1BA-63A8-4070-AD04-7CF3FB7A7890}" showAutoFilter="1" hiddenColumns="1" topLeftCell="A7">
      <pane xSplit="1" topLeftCell="CC1" activePane="topRight" state="frozen"/>
      <selection pane="topRight" activeCell="CD23" sqref="CD23"/>
      <pageMargins left="0.7" right="0.7" top="0.75" bottom="0.75" header="0.3" footer="0.3"/>
      <autoFilter ref="A1:DK82"/>
    </customSheetView>
    <customSheetView guid="{208A5925-1FA9-41B4-AB84-DB668CD24F85}" scale="115" showPageBreaks="1" filter="1" showAutoFilter="1" hiddenColumns="1">
      <pane xSplit="1" topLeftCell="CV1" activePane="topRight" state="frozen"/>
      <selection pane="topRight" activeCell="DE44" sqref="DE44"/>
      <pageMargins left="0.7" right="0.7" top="0.75" bottom="0.75" header="0.3" footer="0.3"/>
      <pageSetup orientation="portrait" horizontalDpi="200" verticalDpi="200" r:id="rId1"/>
      <autoFilter ref="A1:DK1019">
        <filterColumn colId="3">
          <filters>
            <filter val="Yes"/>
          </filters>
        </filterColumn>
        <sortState ref="A3:DK1019">
          <sortCondition descending="1" ref="F1:F1018"/>
        </sortState>
      </autoFilter>
    </customSheetView>
    <customSheetView guid="{633586D4-0157-4906-81B3-3B97799576BB}" showAutoFilter="1">
      <selection activeCell="E15" sqref="E15"/>
      <pageMargins left="0.7" right="0.7" top="0.75" bottom="0.75" header="0.3" footer="0.3"/>
      <autoFilter ref="A1:X1018">
        <sortState ref="A3:X1018">
          <sortCondition ref="A1:A1000"/>
        </sortState>
      </autoFilter>
    </customSheetView>
    <customSheetView guid="{B03D3321-8578-44D0-9847-93996289F773}" showAutoFilter="1">
      <selection activeCell="Y18" sqref="Y18"/>
      <pageMargins left="0.7" right="0.7" top="0.75" bottom="0.75" header="0.3" footer="0.3"/>
      <autoFilter ref="A1:Y1">
        <sortState ref="A2:Y50">
          <sortCondition ref="E1"/>
        </sortState>
      </autoFilter>
    </customSheetView>
    <customSheetView guid="{BD40F652-0BD1-49AB-8864-915916104548}" filter="1" showAutoFilter="1" hiddenColumns="1">
      <pane xSplit="1" topLeftCell="AN1" activePane="topRight" state="frozen"/>
      <selection pane="topRight" activeCell="BE70" sqref="BE70"/>
      <pageMargins left="0.7" right="0.7" top="0.75" bottom="0.75" header="0.3" footer="0.3"/>
      <autoFilter ref="A1:BC58">
        <filterColumn colId="3">
          <filters>
            <filter val="Yes"/>
          </filters>
        </filterColumn>
        <sortState ref="A3:BC58">
          <sortCondition descending="1" ref="F1:F58"/>
        </sortState>
      </autoFilter>
    </customSheetView>
    <customSheetView guid="{655C266F-B06D-4F08-B6E7-FAA4004CC24D}" scale="115" filter="1" showAutoFilter="1" hiddenColumns="1">
      <pane xSplit="52" ySplit="5" topLeftCell="CW7" activePane="bottomRight" state="frozen"/>
      <selection pane="bottomRight" activeCell="BE27" sqref="BE27"/>
      <pageMargins left="0.7" right="0.7" top="0.75" bottom="0.75" header="0.3" footer="0.3"/>
      <pageSetup orientation="portrait" horizontalDpi="200" verticalDpi="200" r:id="rId2"/>
      <autoFilter ref="A1:BZ82">
        <filterColumn colId="3">
          <filters>
            <filter val="Yes"/>
          </filters>
        </filterColumn>
      </autoFilter>
    </customSheetView>
    <customSheetView guid="{510EAB28-63CB-43E2-9432-C75C3110CE1E}" showAutoFilter="1" topLeftCell="CC1">
      <pane ySplit="1" topLeftCell="A58" activePane="bottomLeft" state="frozen"/>
      <selection pane="bottomLeft" activeCell="CS82" sqref="CS82"/>
      <pageMargins left="0.7" right="0.7" top="0.75" bottom="0.75" header="0.3" footer="0.3"/>
      <autoFilter ref="A1:X1019">
        <sortState ref="A3:X1019">
          <sortCondition ref="A1:A1000"/>
        </sortState>
      </autoFilter>
    </customSheetView>
  </customSheetViews>
  <conditionalFormatting sqref="BJ77:ZZ77 G78:ZZ79 G81:ZZ110 G80:DD80 DF80:ZZ80 G2:ZZ49 G50:DD50 DF50:ZZ50 G51:ZZ76">
    <cfRule type="cellIs" dxfId="19" priority="1" operator="equal">
      <formula>"OC"</formula>
    </cfRule>
    <cfRule type="cellIs" dxfId="18" priority="2" operator="equal">
      <formula>"Su"</formula>
    </cfRule>
    <cfRule type="cellIs" dxfId="17" priority="3" operator="equal">
      <formula>"Sa"</formula>
    </cfRule>
  </conditionalFormatting>
  <pageMargins left="0.7" right="0.7" top="0.75" bottom="0.75" header="0.3" footer="0.3"/>
  <pageSetup orientation="portrait" horizontalDpi="200" verticalDpi="200" r:id="rId3"/>
  <legacyDrawing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E81"/>
  <sheetViews>
    <sheetView zoomScale="85" zoomScaleNormal="85" workbookViewId="0">
      <selection activeCell="A18" sqref="A18"/>
    </sheetView>
  </sheetViews>
  <sheetFormatPr defaultColWidth="9.140625" defaultRowHeight="12.75" x14ac:dyDescent="0.2"/>
  <cols>
    <col min="1" max="1" width="0.85546875" style="195" customWidth="1"/>
    <col min="2" max="7" width="9.140625" style="195" customWidth="1"/>
    <col min="8" max="8" width="14" style="209" bestFit="1" customWidth="1"/>
    <col min="9" max="9" width="18.7109375" style="211" customWidth="1"/>
    <col min="10" max="12" width="18.7109375" style="211" hidden="1" customWidth="1"/>
    <col min="13" max="13" width="18.7109375" style="211" customWidth="1"/>
    <col min="14" max="15" width="18.7109375" style="211" hidden="1" customWidth="1"/>
    <col min="16" max="16" width="18.7109375" style="211" customWidth="1"/>
    <col min="17" max="18" width="18.7109375" style="211" hidden="1" customWidth="1"/>
    <col min="19" max="19" width="18.7109375" style="211" customWidth="1"/>
    <col min="20" max="21" width="18.7109375" style="211" hidden="1" customWidth="1"/>
    <col min="22" max="22" width="18.7109375" style="211" customWidth="1"/>
    <col min="23" max="24" width="18.7109375" style="211" hidden="1" customWidth="1"/>
    <col min="25" max="25" width="18.7109375" style="211" customWidth="1"/>
    <col min="26" max="27" width="18.7109375" style="211" hidden="1" customWidth="1"/>
    <col min="28" max="28" width="18.7109375" style="211" customWidth="1"/>
    <col min="29" max="30" width="18.7109375" style="211" hidden="1" customWidth="1"/>
    <col min="31" max="31" width="18.7109375" style="211" customWidth="1"/>
    <col min="32" max="34" width="18.7109375" style="211" hidden="1" customWidth="1"/>
    <col min="35" max="35" width="18.7109375" style="211" customWidth="1"/>
    <col min="36" max="37" width="18.7109375" style="211" hidden="1" customWidth="1"/>
    <col min="38" max="38" width="18.7109375" style="211" customWidth="1"/>
    <col min="39" max="40" width="18.7109375" style="211" hidden="1" customWidth="1"/>
    <col min="41" max="41" width="18.7109375" style="211" customWidth="1"/>
    <col min="42" max="43" width="18.7109375" style="211" hidden="1" customWidth="1"/>
    <col min="44" max="44" width="18.7109375" style="211" customWidth="1"/>
    <col min="45" max="46" width="18.7109375" style="211" hidden="1" customWidth="1"/>
    <col min="47" max="47" width="18.7109375" style="211" customWidth="1"/>
    <col min="48" max="49" width="18.7109375" style="211" hidden="1" customWidth="1"/>
    <col min="50" max="50" width="18.7109375" style="211" customWidth="1"/>
    <col min="51" max="52" width="18.7109375" style="211" hidden="1" customWidth="1"/>
    <col min="53" max="53" width="18.7109375" style="211" customWidth="1"/>
    <col min="54" max="56" width="18.7109375" style="211" hidden="1" customWidth="1"/>
    <col min="57" max="57" width="18.7109375" style="211" customWidth="1"/>
    <col min="58" max="16384" width="9.140625" style="195"/>
  </cols>
  <sheetData>
    <row r="1" spans="2:57" x14ac:dyDescent="0.2">
      <c r="B1" s="195" t="s">
        <v>123</v>
      </c>
      <c r="G1" s="195" t="s">
        <v>124</v>
      </c>
      <c r="H1" s="196" t="s">
        <v>245</v>
      </c>
      <c r="I1" s="197">
        <f>SCHEDULE!E1</f>
        <v>42588</v>
      </c>
      <c r="J1" s="198"/>
      <c r="K1" s="197"/>
      <c r="L1" s="199"/>
      <c r="M1" s="197">
        <f>SCHEDULE!I1</f>
        <v>42589</v>
      </c>
      <c r="N1" s="198"/>
      <c r="O1" s="199"/>
      <c r="P1" s="197">
        <f>SCHEDULE!L1</f>
        <v>42590</v>
      </c>
      <c r="Q1" s="198"/>
      <c r="R1" s="199"/>
      <c r="S1" s="197">
        <f>SCHEDULE!O1</f>
        <v>42591</v>
      </c>
      <c r="T1" s="198"/>
      <c r="U1" s="199"/>
      <c r="V1" s="197">
        <f>SCHEDULE!R1</f>
        <v>42592</v>
      </c>
      <c r="W1" s="198"/>
      <c r="X1" s="199"/>
      <c r="Y1" s="197">
        <f>SCHEDULE!U1</f>
        <v>42593</v>
      </c>
      <c r="Z1" s="198"/>
      <c r="AA1" s="199"/>
      <c r="AB1" s="197">
        <f>SCHEDULE!X1</f>
        <v>42594</v>
      </c>
      <c r="AC1" s="198"/>
      <c r="AD1" s="199"/>
      <c r="AE1" s="197">
        <f>SCHEDULE!AA1</f>
        <v>42595</v>
      </c>
      <c r="AF1" s="198"/>
      <c r="AG1" s="199"/>
      <c r="AH1" s="199"/>
      <c r="AI1" s="199">
        <f>SCHEDULE!AE1</f>
        <v>42596</v>
      </c>
      <c r="AJ1" s="199"/>
      <c r="AK1" s="199"/>
      <c r="AL1" s="197">
        <f>SCHEDULE!AH1</f>
        <v>42597</v>
      </c>
      <c r="AM1" s="198"/>
      <c r="AN1" s="199"/>
      <c r="AO1" s="199">
        <f>SCHEDULE!AK1</f>
        <v>42598</v>
      </c>
      <c r="AP1" s="199"/>
      <c r="AQ1" s="199"/>
      <c r="AR1" s="197">
        <f>SCHEDULE!AN1</f>
        <v>42599</v>
      </c>
      <c r="AS1" s="198"/>
      <c r="AT1" s="199"/>
      <c r="AU1" s="199">
        <f>SCHEDULE!AQ1</f>
        <v>42600</v>
      </c>
      <c r="AV1" s="199"/>
      <c r="AW1" s="199"/>
      <c r="AX1" s="197">
        <f>SCHEDULE!AT1</f>
        <v>42601</v>
      </c>
      <c r="AY1" s="198"/>
      <c r="AZ1" s="199"/>
      <c r="BA1" s="199">
        <f>SCHEDULE!AW1</f>
        <v>42602</v>
      </c>
      <c r="BB1" s="199"/>
      <c r="BC1" s="199"/>
      <c r="BD1" s="199"/>
      <c r="BE1" s="197">
        <f>SCHEDULE!BA1</f>
        <v>42603</v>
      </c>
    </row>
    <row r="2" spans="2:57" ht="13.5" thickBot="1" x14ac:dyDescent="0.25">
      <c r="H2" s="200"/>
      <c r="I2" s="397" t="str">
        <f>SCHEDULE!E2</f>
        <v>Saturday</v>
      </c>
      <c r="J2" s="398"/>
      <c r="K2" s="399"/>
      <c r="L2" s="202"/>
      <c r="M2" s="201" t="str">
        <f>SCHEDULE!I2</f>
        <v>Sunday</v>
      </c>
      <c r="N2" s="202"/>
      <c r="O2" s="202"/>
      <c r="P2" s="201" t="str">
        <f>SCHEDULE!L2</f>
        <v>Monday</v>
      </c>
      <c r="Q2" s="202"/>
      <c r="R2" s="202"/>
      <c r="S2" s="201" t="str">
        <f>SCHEDULE!O2</f>
        <v>Tuesday</v>
      </c>
      <c r="T2" s="202"/>
      <c r="U2" s="202"/>
      <c r="V2" s="201" t="str">
        <f>SCHEDULE!R2</f>
        <v>Wednesday</v>
      </c>
      <c r="W2" s="202"/>
      <c r="X2" s="202"/>
      <c r="Y2" s="201" t="str">
        <f>SCHEDULE!U2</f>
        <v>Thursday</v>
      </c>
      <c r="Z2" s="202"/>
      <c r="AA2" s="202"/>
      <c r="AB2" s="201" t="str">
        <f>SCHEDULE!X2</f>
        <v>Friday</v>
      </c>
      <c r="AC2" s="202"/>
      <c r="AD2" s="202"/>
      <c r="AE2" s="201" t="str">
        <f>SCHEDULE!AA2</f>
        <v>Saturday</v>
      </c>
      <c r="AF2" s="202"/>
      <c r="AG2" s="202"/>
      <c r="AH2" s="202"/>
      <c r="AI2" s="202" t="str">
        <f>SCHEDULE!AE2</f>
        <v>Sunday</v>
      </c>
      <c r="AJ2" s="202"/>
      <c r="AK2" s="202"/>
      <c r="AL2" s="201" t="str">
        <f>SCHEDULE!AH2</f>
        <v>Monday</v>
      </c>
      <c r="AM2" s="202"/>
      <c r="AN2" s="202"/>
      <c r="AO2" s="202" t="str">
        <f>SCHEDULE!AK2</f>
        <v>Tuesday</v>
      </c>
      <c r="AP2" s="202"/>
      <c r="AQ2" s="202"/>
      <c r="AR2" s="201" t="str">
        <f>SCHEDULE!AN2</f>
        <v>Wednesday</v>
      </c>
      <c r="AS2" s="202"/>
      <c r="AT2" s="202"/>
      <c r="AU2" s="202" t="str">
        <f>SCHEDULE!AQ2</f>
        <v>Thursday</v>
      </c>
      <c r="AV2" s="202"/>
      <c r="AW2" s="202"/>
      <c r="AX2" s="201" t="str">
        <f>SCHEDULE!AT2</f>
        <v>Friday</v>
      </c>
      <c r="AY2" s="202"/>
      <c r="AZ2" s="202"/>
      <c r="BA2" s="202" t="str">
        <f>SCHEDULE!AW2</f>
        <v>Saturday</v>
      </c>
      <c r="BB2" s="202"/>
      <c r="BC2" s="202"/>
      <c r="BD2" s="202"/>
      <c r="BE2" s="201" t="str">
        <f>SCHEDULE!BA2</f>
        <v>Sunday</v>
      </c>
    </row>
    <row r="3" spans="2:57" x14ac:dyDescent="0.2">
      <c r="B3" s="203">
        <v>0.25</v>
      </c>
      <c r="C3" s="203" t="s">
        <v>105</v>
      </c>
      <c r="D3" s="203"/>
      <c r="E3" s="203"/>
      <c r="F3" s="203"/>
      <c r="G3" s="203" t="s">
        <v>89</v>
      </c>
      <c r="H3" s="204" t="s">
        <v>102</v>
      </c>
      <c r="I3" s="210" t="str">
        <f t="array" ref="I3">IFERROR(
 INDEX(
  SCHEDULE!$A$1:$A$76,
   SMALL(
   IF(
    (ISNUMBER(SEARCH("█",SCHEDULE!F$1:F$76)))*
   ( (SCHEDULE!E$1:E$76=$B3)+(SCHEDULE!E$1:E$76=$C3)+(SCHEDULE!E$1:E$76=$D3)+(SCHEDULE!E$1:E$76=$E3)+(SCHEDULE!E$1:E$76=$F3)+ (SCHEDULE!G$1:G$76=$G3) ),
     ROW(SCHEDULE!AN$1:AN$76),
     ""
    ),COUNTIF($H$1:$H3,$H3)
  )
 ),"
Missing")</f>
        <v>Gabe Partridge</v>
      </c>
      <c r="J3" s="210" t="str">
        <f t="array" ref="J3">IFERROR(
 INDEX(
  SCHEDULE!$A$1:$A$76,
   SMALL(
   IF(
    (ISNUMBER(SEARCH("█",SCHEDULE!G$1:G$76)))*
   ( (SCHEDULE!F$1:F$76=$B3)+(SCHEDULE!F$1:F$76=$C3)+(SCHEDULE!F$1:F$76=$D3)+(SCHEDULE!F$1:F$76=$E3)+(SCHEDULE!F$1:F$76=$F3)+ (SCHEDULE!H$1:H$76=$G3) ),
     ROW(SCHEDULE!AO$1:AO$76),
     ""
    ),COUNTIF($H$1:$H3,$H3)
  )
 ),"
Missing")</f>
        <v xml:space="preserve">
Missing</v>
      </c>
      <c r="K3" s="210" t="str">
        <f t="array" ref="K3">IFERROR(
 INDEX(
  SCHEDULE!$A$1:$A$76,
   SMALL(
   IF(
    (ISNUMBER(SEARCH("█",SCHEDULE!H$1:H$76)))*
   ( (SCHEDULE!G$1:G$76=$B3)+(SCHEDULE!G$1:G$76=$C3)+(SCHEDULE!G$1:G$76=$D3)+(SCHEDULE!G$1:G$76=$E3)+(SCHEDULE!G$1:G$76=$F3)+ (SCHEDULE!I$1:I$76=$G3) ),
     ROW(SCHEDULE!AP$1:AP$76),
     ""
    ),COUNTIF($H$1:$H3,$H3)
  )
 ),"
Missing")</f>
        <v xml:space="preserve">
Missing</v>
      </c>
      <c r="L3" s="210" t="str">
        <f t="array" ref="L3">IFERROR(
 INDEX(
  SCHEDULE!$A$1:$A$76,
   SMALL(
   IF(
    (ISNUMBER(SEARCH("█",SCHEDULE!I$1:I$76)))*
   ( (SCHEDULE!H$1:H$76=$B3)+(SCHEDULE!H$1:H$76=$C3)+(SCHEDULE!H$1:H$76=$D3)+(SCHEDULE!H$1:H$76=$E3)+(SCHEDULE!H$1:H$76=$F3)+ (SCHEDULE!J$1:J$76=$G3) ),
     ROW(SCHEDULE!AQ$1:AQ$76),
     ""
    ),COUNTIF($H$1:$H3,$H3)
  )
 ),"
Missing")</f>
        <v xml:space="preserve">
Missing</v>
      </c>
      <c r="M3" s="210" t="str">
        <f t="array" ref="M3">IFERROR(
 INDEX(
  SCHEDULE!$A$1:$A$76,
   SMALL(
   IF(
    (ISNUMBER(SEARCH("█",SCHEDULE!J$1:J$76)))*
   ( (SCHEDULE!I$1:I$76=$B3)+(SCHEDULE!I$1:I$76=$C3)+(SCHEDULE!I$1:I$76=$D3)+(SCHEDULE!I$1:I$76=$E3)+(SCHEDULE!I$1:I$76=$F3)+ (SCHEDULE!K$1:K$76=$G3) ),
     ROW(SCHEDULE!AR$1:AR$76),
     ""
    ),COUNTIF($H$1:$H3,$H3)
  )
 ),"
Missing")</f>
        <v>Johan Scholte</v>
      </c>
      <c r="N3" s="210" t="str">
        <f t="array" ref="N3">IFERROR(
 INDEX(
  SCHEDULE!$A$1:$A$76,
   SMALL(
   IF(
    (ISNUMBER(SEARCH("█",SCHEDULE!K$1:K$76)))*
   ( (SCHEDULE!J$1:J$76=$B3)+(SCHEDULE!J$1:J$76=$C3)+(SCHEDULE!J$1:J$76=$D3)+(SCHEDULE!J$1:J$76=$E3)+(SCHEDULE!J$1:J$76=$F3)+ (SCHEDULE!L$1:L$76=$G3) ),
     ROW(SCHEDULE!AS$1:AS$76),
     ""
    ),COUNTIF($H$1:$H3,$H3)
  )
 ),"
Missing")</f>
        <v xml:space="preserve">
Missing</v>
      </c>
      <c r="O3" s="210" t="str">
        <f t="array" ref="O3">IFERROR(
 INDEX(
  SCHEDULE!$A$1:$A$76,
   SMALL(
   IF(
    (ISNUMBER(SEARCH("█",SCHEDULE!L$1:L$76)))*
   ( (SCHEDULE!K$1:K$76=$B3)+(SCHEDULE!K$1:K$76=$C3)+(SCHEDULE!K$1:K$76=$D3)+(SCHEDULE!K$1:K$76=$E3)+(SCHEDULE!K$1:K$76=$F3)+ (SCHEDULE!M$1:M$76=$G3) ),
     ROW(SCHEDULE!AT$1:AT$76),
     ""
    ),COUNTIF($H$1:$H3,$H3)
  )
 ),"
Missing")</f>
        <v xml:space="preserve">
Missing</v>
      </c>
      <c r="P3" s="210" t="str">
        <f t="array" ref="P3">IFERROR(
 INDEX(
  SCHEDULE!$A$1:$A$76,
   SMALL(
   IF(
    (ISNUMBER(SEARCH("█",SCHEDULE!M$1:M$76)))*
   ( (SCHEDULE!L$1:L$76=$B3)+(SCHEDULE!L$1:L$76=$C3)+(SCHEDULE!L$1:L$76=$D3)+(SCHEDULE!L$1:L$76=$E3)+(SCHEDULE!L$1:L$76=$F3)+ (SCHEDULE!N$1:N$76=$G3) ),
     ROW(SCHEDULE!AU$1:AU$76),
     ""
    ),COUNTIF($H$1:$H3,$H3)
  )
 ),"
Missing")</f>
        <v>Elaine Evertsen</v>
      </c>
      <c r="Q3" s="210" t="str">
        <f t="array" ref="Q3">IFERROR(
 INDEX(
  SCHEDULE!$A$1:$A$76,
   SMALL(
   IF(
    (ISNUMBER(SEARCH("█",SCHEDULE!N$1:N$76)))*
   ( (SCHEDULE!M$1:M$76=$B3)+(SCHEDULE!M$1:M$76=$C3)+(SCHEDULE!M$1:M$76=$D3)+(SCHEDULE!M$1:M$76=$E3)+(SCHEDULE!M$1:M$76=$F3)+ (SCHEDULE!O$1:O$76=$G3) ),
     ROW(SCHEDULE!AV$1:AV$76),
     ""
    ),COUNTIF($H$1:$H3,$H3)
  )
 ),"
Missing")</f>
        <v xml:space="preserve">
Missing</v>
      </c>
      <c r="R3" s="210" t="str">
        <f t="array" ref="R3">IFERROR(
 INDEX(
  SCHEDULE!$A$1:$A$76,
   SMALL(
   IF(
    (ISNUMBER(SEARCH("█",SCHEDULE!O$1:O$76)))*
   ( (SCHEDULE!N$1:N$76=$B3)+(SCHEDULE!N$1:N$76=$C3)+(SCHEDULE!N$1:N$76=$D3)+(SCHEDULE!N$1:N$76=$E3)+(SCHEDULE!N$1:N$76=$F3)+ (SCHEDULE!P$1:P$76=$G3) ),
     ROW(SCHEDULE!AW$1:AW$76),
     ""
    ),COUNTIF($H$1:$H3,$H3)
  )
 ),"
Missing")</f>
        <v xml:space="preserve">
Missing</v>
      </c>
      <c r="S3" s="210" t="str">
        <f t="array" ref="S3">IFERROR(
 INDEX(
  SCHEDULE!$A$1:$A$76,
   SMALL(
   IF(
    (ISNUMBER(SEARCH("█",SCHEDULE!P$1:P$76)))*
   ( (SCHEDULE!O$1:O$76=$B3)+(SCHEDULE!O$1:O$76=$C3)+(SCHEDULE!O$1:O$76=$D3)+(SCHEDULE!O$1:O$76=$E3)+(SCHEDULE!O$1:O$76=$F3)+ (SCHEDULE!Q$1:Q$76=$G3) ),
     ROW(SCHEDULE!AX$1:AX$76),
     ""
    ),COUNTIF($H$1:$H3,$H3)
  )
 ),"
Missing")</f>
        <v>Elaine Evertsen</v>
      </c>
      <c r="T3" s="210" t="str">
        <f t="array" ref="T3">IFERROR(
 INDEX(
  SCHEDULE!$A$1:$A$76,
   SMALL(
   IF(
    (ISNUMBER(SEARCH("█",SCHEDULE!Q$1:Q$76)))*
   ( (SCHEDULE!P$1:P$76=$B3)+(SCHEDULE!P$1:P$76=$C3)+(SCHEDULE!P$1:P$76=$D3)+(SCHEDULE!P$1:P$76=$E3)+(SCHEDULE!P$1:P$76=$F3)+ (SCHEDULE!R$1:R$76=$G3) ),
     ROW(SCHEDULE!AY$1:AY$76),
     ""
    ),COUNTIF($H$1:$H3,$H3)
  )
 ),"
Missing")</f>
        <v xml:space="preserve">
Missing</v>
      </c>
      <c r="U3" s="210" t="str">
        <f t="array" ref="U3">IFERROR(
 INDEX(
  SCHEDULE!$A$1:$A$76,
   SMALL(
   IF(
    (ISNUMBER(SEARCH("█",SCHEDULE!R$1:R$76)))*
   ( (SCHEDULE!Q$1:Q$76=$B3)+(SCHEDULE!Q$1:Q$76=$C3)+(SCHEDULE!Q$1:Q$76=$D3)+(SCHEDULE!Q$1:Q$76=$E3)+(SCHEDULE!Q$1:Q$76=$F3)+ (SCHEDULE!S$1:S$76=$G3) ),
     ROW(SCHEDULE!AZ$1:AZ$76),
     ""
    ),COUNTIF($H$1:$H3,$H3)
  )
 ),"
Missing")</f>
        <v xml:space="preserve">
Missing</v>
      </c>
      <c r="V3" s="210" t="str">
        <f t="array" ref="V3">IFERROR(
 INDEX(
  SCHEDULE!$A$1:$A$76,
   SMALL(
   IF(
    (ISNUMBER(SEARCH("█",SCHEDULE!S$1:S$76)))*
   ( (SCHEDULE!R$1:R$76=$B3)+(SCHEDULE!R$1:R$76=$C3)+(SCHEDULE!R$1:R$76=$D3)+(SCHEDULE!R$1:R$76=$E3)+(SCHEDULE!R$1:R$76=$F3)+ (SCHEDULE!T$1:T$76=$G3) ),
     ROW(SCHEDULE!BA$1:BA$76),
     ""
    ),COUNTIF($H$1:$H3,$H3)
  )
 ),"
Missing")</f>
        <v>Elaine Evertsen</v>
      </c>
      <c r="W3" s="210" t="str">
        <f t="array" ref="W3">IFERROR(
 INDEX(
  SCHEDULE!$A$1:$A$76,
   SMALL(
   IF(
    (ISNUMBER(SEARCH("█",SCHEDULE!T$1:T$76)))*
   ( (SCHEDULE!S$1:S$76=$B3)+(SCHEDULE!S$1:S$76=$C3)+(SCHEDULE!S$1:S$76=$D3)+(SCHEDULE!S$1:S$76=$E3)+(SCHEDULE!S$1:S$76=$F3)+ (SCHEDULE!U$1:U$76=$G3) ),
     ROW(SCHEDULE!BB$1:BB$76),
     ""
    ),COUNTIF($H$1:$H3,$H3)
  )
 ),"
Missing")</f>
        <v xml:space="preserve">
Missing</v>
      </c>
      <c r="X3" s="210" t="str">
        <f t="array" ref="X3">IFERROR(
 INDEX(
  SCHEDULE!$A$1:$A$76,
   SMALL(
   IF(
    (ISNUMBER(SEARCH("█",SCHEDULE!U$1:U$76)))*
   ( (SCHEDULE!T$1:T$76=$B3)+(SCHEDULE!T$1:T$76=$C3)+(SCHEDULE!T$1:T$76=$D3)+(SCHEDULE!T$1:T$76=$E3)+(SCHEDULE!T$1:T$76=$F3)+ (SCHEDULE!V$1:V$76=$G3) ),
     ROW(SCHEDULE!BC$1:BC$76),
     ""
    ),COUNTIF($H$1:$H3,$H3)
  )
 ),"
Missing")</f>
        <v xml:space="preserve">
Missing</v>
      </c>
      <c r="Y3" s="210" t="str">
        <f t="array" ref="Y3">IFERROR(
 INDEX(
  SCHEDULE!$A$1:$A$76,
   SMALL(
   IF(
    (ISNUMBER(SEARCH("█",SCHEDULE!V$1:V$76)))*
   ( (SCHEDULE!U$1:U$76=$B3)+(SCHEDULE!U$1:U$76=$C3)+(SCHEDULE!U$1:U$76=$D3)+(SCHEDULE!U$1:U$76=$E3)+(SCHEDULE!U$1:U$76=$F3)+ (SCHEDULE!W$1:W$76=$G3) ),
     ROW(SCHEDULE!BD$1:BD$76),
     ""
    ),COUNTIF($H$1:$H3,$H3)
  )
 ),"
Missing")</f>
        <v>Elaine Evertsen</v>
      </c>
      <c r="Z3" s="210" t="str">
        <f t="array" ref="Z3">IFERROR(
 INDEX(
  SCHEDULE!$A$1:$A$76,
   SMALL(
   IF(
    (ISNUMBER(SEARCH("█",SCHEDULE!W$1:W$76)))*
   ( (SCHEDULE!V$1:V$76=$B3)+(SCHEDULE!V$1:V$76=$C3)+(SCHEDULE!V$1:V$76=$D3)+(SCHEDULE!V$1:V$76=$E3)+(SCHEDULE!V$1:V$76=$F3)+ (SCHEDULE!X$1:X$76=$G3) ),
     ROW(SCHEDULE!BE$1:BE$76),
     ""
    ),COUNTIF($H$1:$H3,$H3)
  )
 ),"
Missing")</f>
        <v xml:space="preserve">
Missing</v>
      </c>
      <c r="AA3" s="210" t="str">
        <f t="array" ref="AA3">IFERROR(
 INDEX(
  SCHEDULE!$A$1:$A$76,
   SMALL(
   IF(
    (ISNUMBER(SEARCH("█",SCHEDULE!X$1:X$76)))*
   ( (SCHEDULE!W$1:W$76=$B3)+(SCHEDULE!W$1:W$76=$C3)+(SCHEDULE!W$1:W$76=$D3)+(SCHEDULE!W$1:W$76=$E3)+(SCHEDULE!W$1:W$76=$F3)+ (SCHEDULE!Y$1:Y$76=$G3) ),
     ROW(SCHEDULE!BF$1:BF$76),
     ""
    ),COUNTIF($H$1:$H3,$H3)
  )
 ),"
Missing")</f>
        <v xml:space="preserve">
Missing</v>
      </c>
      <c r="AB3" s="210" t="str">
        <f t="array" ref="AB3">IFERROR(
 INDEX(
  SCHEDULE!$A$1:$A$76,
   SMALL(
   IF(
    (ISNUMBER(SEARCH("█",SCHEDULE!Y$1:Y$76)))*
   ( (SCHEDULE!X$1:X$76=$B3)+(SCHEDULE!X$1:X$76=$C3)+(SCHEDULE!X$1:X$76=$D3)+(SCHEDULE!X$1:X$76=$E3)+(SCHEDULE!X$1:X$76=$F3)+ (SCHEDULE!Z$1:Z$76=$G3) ),
     ROW(SCHEDULE!BG$1:BG$76),
     ""
    ),COUNTIF($H$1:$H3,$H3)
  )
 ),"
Missing")</f>
        <v>Elaine Evertsen</v>
      </c>
      <c r="AC3" s="210" t="str">
        <f t="array" ref="AC3">IFERROR(
 INDEX(
  SCHEDULE!$A$1:$A$76,
   SMALL(
   IF(
    (ISNUMBER(SEARCH("█",SCHEDULE!Z$1:Z$76)))*
   ( (SCHEDULE!Y$1:Y$76=$B3)+(SCHEDULE!Y$1:Y$76=$C3)+(SCHEDULE!Y$1:Y$76=$D3)+(SCHEDULE!Y$1:Y$76=$E3)+(SCHEDULE!Y$1:Y$76=$F3)+ (SCHEDULE!AA$1:AA$76=$G3) ),
     ROW(SCHEDULE!BH$1:BH$76),
     ""
    ),COUNTIF($H$1:$H3,$H3)
  )
 ),"
Missing")</f>
        <v xml:space="preserve">
Missing</v>
      </c>
      <c r="AD3" s="210" t="str">
        <f t="array" ref="AD3">IFERROR(
 INDEX(
  SCHEDULE!$A$1:$A$76,
   SMALL(
   IF(
    (ISNUMBER(SEARCH("█",SCHEDULE!AA$1:AA$76)))*
   ( (SCHEDULE!Z$1:Z$76=$B3)+(SCHEDULE!Z$1:Z$76=$C3)+(SCHEDULE!Z$1:Z$76=$D3)+(SCHEDULE!Z$1:Z$76=$E3)+(SCHEDULE!Z$1:Z$76=$F3)+ (SCHEDULE!AB$1:AB$76=$G3) ),
     ROW(SCHEDULE!BI$1:BI$76),
     ""
    ),COUNTIF($H$1:$H3,$H3)
  )
 ),"
Missing")</f>
        <v xml:space="preserve">
Missing</v>
      </c>
      <c r="AE3" s="210" t="str">
        <f t="array" ref="AE3">IFERROR(
 INDEX(
  SCHEDULE!$A$1:$A$76,
   SMALL(
   IF(
    (ISNUMBER(SEARCH("█",SCHEDULE!AB$1:AB$76)))*
   ( (SCHEDULE!AA$1:AA$76=$B3)+(SCHEDULE!AA$1:AA$76=$C3)+(SCHEDULE!AA$1:AA$76=$D3)+(SCHEDULE!AA$1:AA$76=$E3)+(SCHEDULE!AA$1:AA$76=$F3)+ (SCHEDULE!AC$1:AC$76=$G3) ),
     ROW(SCHEDULE!BJ$1:BJ$76),
     ""
    ),COUNTIF($H$1:$H3,$H3)
  )
 ),"
Missing")</f>
        <v>Brendan Stevens</v>
      </c>
      <c r="AF3" s="210" t="str">
        <f t="array" ref="AF3">IFERROR(
 INDEX(
  SCHEDULE!$A$1:$A$76,
   SMALL(
   IF(
    (ISNUMBER(SEARCH("█",SCHEDULE!AC$1:AC$76)))*
   ( (SCHEDULE!AB$1:AB$76=$B3)+(SCHEDULE!AB$1:AB$76=$C3)+(SCHEDULE!AB$1:AB$76=$D3)+(SCHEDULE!AB$1:AB$76=$E3)+(SCHEDULE!AB$1:AB$76=$F3)+ (SCHEDULE!AD$1:AD$76=$G3) ),
     ROW(SCHEDULE!BK$1:BK$76),
     ""
    ),COUNTIF($H$1:$H3,$H3)
  )
 ),"
Missing")</f>
        <v xml:space="preserve">
Missing</v>
      </c>
      <c r="AG3" s="210" t="str">
        <f t="array" ref="AG3">IFERROR(
 INDEX(
  SCHEDULE!$A$1:$A$76,
   SMALL(
   IF(
    (ISNUMBER(SEARCH("█",SCHEDULE!AD$1:AD$76)))*
   ( (SCHEDULE!AC$1:AC$76=$B3)+(SCHEDULE!AC$1:AC$76=$C3)+(SCHEDULE!AC$1:AC$76=$D3)+(SCHEDULE!AC$1:AC$76=$E3)+(SCHEDULE!AC$1:AC$76=$F3)+ (SCHEDULE!AE$1:AE$76=$G3) ),
     ROW(SCHEDULE!BL$1:BL$76),
     ""
    ),COUNTIF($H$1:$H3,$H3)
  )
 ),"
Missing")</f>
        <v xml:space="preserve">
Missing</v>
      </c>
      <c r="AH3" s="210" t="str">
        <f t="array" ref="AH3">IFERROR(
 INDEX(
  SCHEDULE!$A$1:$A$76,
   SMALL(
   IF(
    (ISNUMBER(SEARCH("█",SCHEDULE!AE$1:AE$76)))*
   ( (SCHEDULE!AD$1:AD$76=$B3)+(SCHEDULE!AD$1:AD$76=$C3)+(SCHEDULE!AD$1:AD$76=$D3)+(SCHEDULE!AD$1:AD$76=$E3)+(SCHEDULE!AD$1:AD$76=$F3)+ (SCHEDULE!AF$1:AF$76=$G3) ),
     ROW(SCHEDULE!BM$1:BM$76),
     ""
    ),COUNTIF($H$1:$H3,$H3)
  )
 ),"
Missing")</f>
        <v xml:space="preserve">
Missing</v>
      </c>
      <c r="AI3" s="210" t="str">
        <f t="array" ref="AI3">IFERROR(
 INDEX(
  SCHEDULE!$A$1:$A$76,
   SMALL(
   IF(
    (ISNUMBER(SEARCH("█",SCHEDULE!AF$1:AF$76)))*
   ( (SCHEDULE!AE$1:AE$76=$B3)+(SCHEDULE!AE$1:AE$76=$C3)+(SCHEDULE!AE$1:AE$76=$D3)+(SCHEDULE!AE$1:AE$76=$E3)+(SCHEDULE!AE$1:AE$76=$F3)+ (SCHEDULE!AG$1:AG$76=$G3) ),
     ROW(SCHEDULE!BN$1:BN$76),
     ""
    ),COUNTIF($H$1:$H3,$H3)
  )
 ),"
Missing")</f>
        <v>Abraham Hurtado</v>
      </c>
      <c r="AJ3" s="210" t="str">
        <f t="array" ref="AJ3">IFERROR(
 INDEX(
  SCHEDULE!$A$1:$A$76,
   SMALL(
   IF(
    (ISNUMBER(SEARCH("█",SCHEDULE!AG$1:AG$76)))*
   ( (SCHEDULE!AF$1:AF$76=$B3)+(SCHEDULE!AF$1:AF$76=$C3)+(SCHEDULE!AF$1:AF$76=$D3)+(SCHEDULE!AF$1:AF$76=$E3)+(SCHEDULE!AF$1:AF$76=$F3)+ (SCHEDULE!AH$1:AH$76=$G3) ),
     ROW(SCHEDULE!BO$1:BO$76),
     ""
    ),COUNTIF($H$1:$H3,$H3)
  )
 ),"
Missing")</f>
        <v xml:space="preserve">
Missing</v>
      </c>
      <c r="AK3" s="210" t="str">
        <f t="array" ref="AK3">IFERROR(
 INDEX(
  SCHEDULE!$A$1:$A$76,
   SMALL(
   IF(
    (ISNUMBER(SEARCH("█",SCHEDULE!AH$1:AH$76)))*
   ( (SCHEDULE!AG$1:AG$76=$B3)+(SCHEDULE!AG$1:AG$76=$C3)+(SCHEDULE!AG$1:AG$76=$D3)+(SCHEDULE!AG$1:AG$76=$E3)+(SCHEDULE!AG$1:AG$76=$F3)+ (SCHEDULE!AI$1:AI$76=$G3) ),
     ROW(SCHEDULE!BP$1:BP$76),
     ""
    ),COUNTIF($H$1:$H3,$H3)
  )
 ),"
Missing")</f>
        <v xml:space="preserve">
Missing</v>
      </c>
      <c r="AL3" s="210" t="str">
        <f t="array" ref="AL3">IFERROR(
 INDEX(
  SCHEDULE!$A$1:$A$76,
   SMALL(
   IF(
    (ISNUMBER(SEARCH("█",SCHEDULE!AI$1:AI$76)))*
   ( (SCHEDULE!AH$1:AH$76=$B3)+(SCHEDULE!AH$1:AH$76=$C3)+(SCHEDULE!AH$1:AH$76=$D3)+(SCHEDULE!AH$1:AH$76=$E3)+(SCHEDULE!AH$1:AH$76=$F3)+ (SCHEDULE!AJ$1:AJ$76=$G3) ),
     ROW(SCHEDULE!BQ$1:BQ$76),
     ""
    ),COUNTIF($H$1:$H3,$H3)
  )
 ),"
Missing")</f>
        <v>Elaine Evertsen</v>
      </c>
      <c r="AM3" s="210" t="str">
        <f t="array" ref="AM3">IFERROR(
 INDEX(
  SCHEDULE!$A$1:$A$76,
   SMALL(
   IF(
    (ISNUMBER(SEARCH("█",SCHEDULE!AJ$1:AJ$76)))*
   ( (SCHEDULE!AI$1:AI$76=$B3)+(SCHEDULE!AI$1:AI$76=$C3)+(SCHEDULE!AI$1:AI$76=$D3)+(SCHEDULE!AI$1:AI$76=$E3)+(SCHEDULE!AI$1:AI$76=$F3)+ (SCHEDULE!AK$1:AK$76=$G3) ),
     ROW(SCHEDULE!BR$1:BR$76),
     ""
    ),COUNTIF($H$1:$H3,$H3)
  )
 ),"
Missing")</f>
        <v xml:space="preserve">
Missing</v>
      </c>
      <c r="AN3" s="210" t="str">
        <f t="array" ref="AN3">IFERROR(
 INDEX(
  SCHEDULE!$A$1:$A$76,
   SMALL(
   IF(
    (ISNUMBER(SEARCH("█",SCHEDULE!AK$1:AK$76)))*
   ( (SCHEDULE!AJ$1:AJ$76=$B3)+(SCHEDULE!AJ$1:AJ$76=$C3)+(SCHEDULE!AJ$1:AJ$76=$D3)+(SCHEDULE!AJ$1:AJ$76=$E3)+(SCHEDULE!AJ$1:AJ$76=$F3)+ (SCHEDULE!AL$1:AL$76=$G3) ),
     ROW(SCHEDULE!BS$1:BS$76),
     ""
    ),COUNTIF($H$1:$H3,$H3)
  )
 ),"
Missing")</f>
        <v xml:space="preserve">
Missing</v>
      </c>
      <c r="AO3" s="210" t="str">
        <f t="array" ref="AO3">IFERROR(
 INDEX(
  SCHEDULE!$A$1:$A$76,
   SMALL(
   IF(
    (ISNUMBER(SEARCH("█",SCHEDULE!AL$1:AL$76)))*
   ( (SCHEDULE!AK$1:AK$76=$B3)+(SCHEDULE!AK$1:AK$76=$C3)+(SCHEDULE!AK$1:AK$76=$D3)+(SCHEDULE!AK$1:AK$76=$E3)+(SCHEDULE!AK$1:AK$76=$F3)+ (SCHEDULE!AM$1:AM$76=$G3) ),
     ROW(SCHEDULE!BT$1:BT$76),
     ""
    ),COUNTIF($H$1:$H3,$H3)
  )
 ),"
Missing")</f>
        <v>Elaine Evertsen</v>
      </c>
      <c r="AP3" s="210" t="str">
        <f t="array" ref="AP3">IFERROR(
 INDEX(
  SCHEDULE!$A$1:$A$76,
   SMALL(
   IF(
    (ISNUMBER(SEARCH("█",SCHEDULE!AM$1:AM$76)))*
   ( (SCHEDULE!AL$1:AL$76=$B3)+(SCHEDULE!AL$1:AL$76=$C3)+(SCHEDULE!AL$1:AL$76=$D3)+(SCHEDULE!AL$1:AL$76=$E3)+(SCHEDULE!AL$1:AL$76=$F3)+ (SCHEDULE!AN$1:AN$76=$G3) ),
     ROW(SCHEDULE!BU$1:BU$76),
     ""
    ),COUNTIF($H$1:$H3,$H3)
  )
 ),"
Missing")</f>
        <v xml:space="preserve">
Missing</v>
      </c>
      <c r="AQ3" s="210" t="str">
        <f t="array" ref="AQ3">IFERROR(
 INDEX(
  SCHEDULE!$A$1:$A$76,
   SMALL(
   IF(
    (ISNUMBER(SEARCH("█",SCHEDULE!AN$1:AN$76)))*
   ( (SCHEDULE!AM$1:AM$76=$B3)+(SCHEDULE!AM$1:AM$76=$C3)+(SCHEDULE!AM$1:AM$76=$D3)+(SCHEDULE!AM$1:AM$76=$E3)+(SCHEDULE!AM$1:AM$76=$F3)+ (SCHEDULE!AO$1:AO$76=$G3) ),
     ROW(SCHEDULE!BV$1:BV$76),
     ""
    ),COUNTIF($H$1:$H3,$H3)
  )
 ),"
Missing")</f>
        <v xml:space="preserve">
Missing</v>
      </c>
      <c r="AR3" s="210" t="str">
        <f t="array" ref="AR3">IFERROR(
 INDEX(
  SCHEDULE!$A$1:$A$76,
   SMALL(
   IF(
    (ISNUMBER(SEARCH("█",SCHEDULE!AO$1:AO$76)))*
   ( (SCHEDULE!AN$1:AN$76=$B3)+(SCHEDULE!AN$1:AN$76=$C3)+(SCHEDULE!AN$1:AN$76=$D3)+(SCHEDULE!AN$1:AN$76=$E3)+(SCHEDULE!AN$1:AN$76=$F3)+ (SCHEDULE!AP$1:AP$76=$G3) ),
     ROW(SCHEDULE!BW$1:BW$76),
     ""
    ),COUNTIF($H$1:$H3,$H3)
  )
 ),"
Missing")</f>
        <v>Elaine Evertsen</v>
      </c>
      <c r="AS3" s="210" t="str">
        <f t="array" ref="AS3">IFERROR(
 INDEX(
  SCHEDULE!$A$1:$A$76,
   SMALL(
   IF(
    (ISNUMBER(SEARCH("█",SCHEDULE!AP$1:AP$76)))*
   ( (SCHEDULE!AO$1:AO$76=$B3)+(SCHEDULE!AO$1:AO$76=$C3)+(SCHEDULE!AO$1:AO$76=$D3)+(SCHEDULE!AO$1:AO$76=$E3)+(SCHEDULE!AO$1:AO$76=$F3)+ (SCHEDULE!AQ$1:AQ$76=$G3) ),
     ROW(SCHEDULE!BX$1:BX$76),
     ""
    ),COUNTIF($H$1:$H3,$H3)
  )
 ),"
Missing")</f>
        <v xml:space="preserve">
Missing</v>
      </c>
      <c r="AT3" s="210" t="str">
        <f t="array" ref="AT3">IFERROR(
 INDEX(
  SCHEDULE!$A$1:$A$76,
   SMALL(
   IF(
    (ISNUMBER(SEARCH("█",SCHEDULE!AQ$1:AQ$76)))*
   ( (SCHEDULE!AP$1:AP$76=$B3)+(SCHEDULE!AP$1:AP$76=$C3)+(SCHEDULE!AP$1:AP$76=$D3)+(SCHEDULE!AP$1:AP$76=$E3)+(SCHEDULE!AP$1:AP$76=$F3)+ (SCHEDULE!AR$1:AR$76=$G3) ),
     ROW(SCHEDULE!BY$1:BY$76),
     ""
    ),COUNTIF($H$1:$H3,$H3)
  )
 ),"
Missing")</f>
        <v xml:space="preserve">
Missing</v>
      </c>
      <c r="AU3" s="210" t="str">
        <f t="array" ref="AU3">IFERROR(
 INDEX(
  SCHEDULE!$A$1:$A$76,
   SMALL(
   IF(
    (ISNUMBER(SEARCH("█",SCHEDULE!AR$1:AR$76)))*
   ( (SCHEDULE!AQ$1:AQ$76=$B3)+(SCHEDULE!AQ$1:AQ$76=$C3)+(SCHEDULE!AQ$1:AQ$76=$D3)+(SCHEDULE!AQ$1:AQ$76=$E3)+(SCHEDULE!AQ$1:AQ$76=$F3)+ (SCHEDULE!AS$1:AS$76=$G3) ),
     ROW(SCHEDULE!BZ$1:BZ$76),
     ""
    ),COUNTIF($H$1:$H3,$H3)
  )
 ),"
Missing")</f>
        <v>Ian Bathelt</v>
      </c>
      <c r="AV3" s="210" t="str">
        <f t="array" ref="AV3">IFERROR(
 INDEX(
  SCHEDULE!$A$1:$A$76,
   SMALL(
   IF(
    (ISNUMBER(SEARCH("█",SCHEDULE!AS$1:AS$76)))*
   ( (SCHEDULE!AR$1:AR$76=$B3)+(SCHEDULE!AR$1:AR$76=$C3)+(SCHEDULE!AR$1:AR$76=$D3)+(SCHEDULE!AR$1:AR$76=$E3)+(SCHEDULE!AR$1:AR$76=$F3)+ (SCHEDULE!AT$1:AT$76=$G3) ),
     ROW(SCHEDULE!CA$1:CA$76),
     ""
    ),COUNTIF($H$1:$H3,$H3)
  )
 ),"
Missing")</f>
        <v xml:space="preserve">
Missing</v>
      </c>
      <c r="AW3" s="210" t="str">
        <f t="array" ref="AW3">IFERROR(
 INDEX(
  SCHEDULE!$A$1:$A$76,
   SMALL(
   IF(
    (ISNUMBER(SEARCH("█",SCHEDULE!AT$1:AT$76)))*
   ( (SCHEDULE!AS$1:AS$76=$B3)+(SCHEDULE!AS$1:AS$76=$C3)+(SCHEDULE!AS$1:AS$76=$D3)+(SCHEDULE!AS$1:AS$76=$E3)+(SCHEDULE!AS$1:AS$76=$F3)+ (SCHEDULE!AU$1:AU$76=$G3) ),
     ROW(SCHEDULE!CB$1:CB$76),
     ""
    ),COUNTIF($H$1:$H3,$H3)
  )
 ),"
Missing")</f>
        <v xml:space="preserve">
Missing</v>
      </c>
      <c r="AX3" s="210" t="str">
        <f t="array" ref="AX3">IFERROR(
 INDEX(
  SCHEDULE!$A$1:$A$76,
   SMALL(
   IF(
    (ISNUMBER(SEARCH("█",SCHEDULE!AU$1:AU$76)))*
   ( (SCHEDULE!AT$1:AT$76=$B3)+(SCHEDULE!AT$1:AT$76=$C3)+(SCHEDULE!AT$1:AT$76=$D3)+(SCHEDULE!AT$1:AT$76=$E3)+(SCHEDULE!AT$1:AT$76=$F3)+ (SCHEDULE!AV$1:AV$76=$G3) ),
     ROW(SCHEDULE!CC$1:CC$76),
     ""
    ),COUNTIF($H$1:$H3,$H3)
  )
 ),"
Missing")</f>
        <v>Ian Bathelt</v>
      </c>
      <c r="AY3" s="210" t="str">
        <f t="array" ref="AY3">IFERROR(
 INDEX(
  SCHEDULE!$A$1:$A$76,
   SMALL(
   IF(
    (ISNUMBER(SEARCH("█",SCHEDULE!AV$1:AV$76)))*
   ( (SCHEDULE!AU$1:AU$76=$B3)+(SCHEDULE!AU$1:AU$76=$C3)+(SCHEDULE!AU$1:AU$76=$D3)+(SCHEDULE!AU$1:AU$76=$E3)+(SCHEDULE!AU$1:AU$76=$F3)+ (SCHEDULE!AW$1:AW$76=$G3) ),
     ROW(SCHEDULE!CD$1:CD$76),
     ""
    ),COUNTIF($H$1:$H3,$H3)
  )
 ),"
Missing")</f>
        <v xml:space="preserve">
Missing</v>
      </c>
      <c r="AZ3" s="210" t="str">
        <f t="array" ref="AZ3">IFERROR(
 INDEX(
  SCHEDULE!$A$1:$A$76,
   SMALL(
   IF(
    (ISNUMBER(SEARCH("█",SCHEDULE!AW$1:AW$76)))*
   ( (SCHEDULE!AV$1:AV$76=$B3)+(SCHEDULE!AV$1:AV$76=$C3)+(SCHEDULE!AV$1:AV$76=$D3)+(SCHEDULE!AV$1:AV$76=$E3)+(SCHEDULE!AV$1:AV$76=$F3)+ (SCHEDULE!AX$1:AX$76=$G3) ),
     ROW(SCHEDULE!CE$1:CE$76),
     ""
    ),COUNTIF($H$1:$H3,$H3)
  )
 ),"
Missing")</f>
        <v xml:space="preserve">
Missing</v>
      </c>
      <c r="BA3" s="210" t="str">
        <f t="array" ref="BA3">IFERROR(
 INDEX(
  SCHEDULE!$A$1:$A$76,
   SMALL(
   IF(
    (ISNUMBER(SEARCH("█",SCHEDULE!AX$1:AX$76)))*
   ( (SCHEDULE!AW$1:AW$76=$B3)+(SCHEDULE!AW$1:AW$76=$C3)+(SCHEDULE!AW$1:AW$76=$D3)+(SCHEDULE!AW$1:AW$76=$E3)+(SCHEDULE!AW$1:AW$76=$F3)+ (SCHEDULE!AY$1:AY$76=$G3) ),
     ROW(SCHEDULE!CF$1:CF$76),
     ""
    ),COUNTIF($H$1:$H3,$H3)
  )
 ),"
Missing")</f>
        <v>Drew Merrill</v>
      </c>
      <c r="BB3" s="210" t="str">
        <f t="array" ref="BB3">IFERROR(
 INDEX(
  SCHEDULE!$A$1:$A$76,
   SMALL(
   IF(
    (ISNUMBER(SEARCH("█",SCHEDULE!AY$1:AY$76)))*
   ( (SCHEDULE!AX$1:AX$76=$B3)+(SCHEDULE!AX$1:AX$76=$C3)+(SCHEDULE!AX$1:AX$76=$D3)+(SCHEDULE!AX$1:AX$76=$E3)+(SCHEDULE!AX$1:AX$76=$F3)+ (SCHEDULE!AZ$1:AZ$76=$G3) ),
     ROW(SCHEDULE!CG$1:CG$76),
     ""
    ),COUNTIF($H$1:$H3,$H3)
  )
 ),"
Missing")</f>
        <v xml:space="preserve">
Missing</v>
      </c>
      <c r="BC3" s="210" t="str">
        <f t="array" ref="BC3">IFERROR(
 INDEX(
  SCHEDULE!$A$1:$A$76,
   SMALL(
   IF(
    (ISNUMBER(SEARCH("█",SCHEDULE!AZ$1:AZ$76)))*
   ( (SCHEDULE!AY$1:AY$76=$B3)+(SCHEDULE!AY$1:AY$76=$C3)+(SCHEDULE!AY$1:AY$76=$D3)+(SCHEDULE!AY$1:AY$76=$E3)+(SCHEDULE!AY$1:AY$76=$F3)+ (SCHEDULE!BA$1:BA$76=$G3) ),
     ROW(SCHEDULE!CH$1:CH$76),
     ""
    ),COUNTIF($H$1:$H3,$H3)
  )
 ),"
Missing")</f>
        <v xml:space="preserve">
Missing</v>
      </c>
      <c r="BD3" s="210" t="str">
        <f t="array" ref="BD3">IFERROR(
 INDEX(
  SCHEDULE!$A$1:$A$76,
   SMALL(
   IF(
    (ISNUMBER(SEARCH("█",SCHEDULE!BA$1:BA$76)))*
   ( (SCHEDULE!AZ$1:AZ$76=$B3)+(SCHEDULE!AZ$1:AZ$76=$C3)+(SCHEDULE!AZ$1:AZ$76=$D3)+(SCHEDULE!AZ$1:AZ$76=$E3)+(SCHEDULE!AZ$1:AZ$76=$F3)+ (SCHEDULE!BB$1:BB$76=$G3) ),
     ROW(SCHEDULE!CI$1:CI$76),
     ""
    ),COUNTIF($H$1:$H3,$H3)
  )
 ),"
Missing")</f>
        <v xml:space="preserve">
Missing</v>
      </c>
      <c r="BE3" s="210" t="str">
        <f t="array" ref="BE3">IFERROR(
 INDEX(
  SCHEDULE!$A$1:$A$76,
   SMALL(
   IF(
    (ISNUMBER(SEARCH("█",SCHEDULE!BB$1:BB$76)))*
   ( (SCHEDULE!BA$1:BA$76=$B3)+(SCHEDULE!BA$1:BA$76=$C3)+(SCHEDULE!BA$1:BA$76=$D3)+(SCHEDULE!BA$1:BA$76=$E3)+(SCHEDULE!BA$1:BA$76=$F3)+ (SCHEDULE!BC$1:BC$76=$G3) ),
     ROW(SCHEDULE!CJ$1:CJ$76),
     ""
    ),COUNTIF($H$1:$H3,$H3)
  )
 ),"
Missing")</f>
        <v>Brendan Stevens</v>
      </c>
    </row>
    <row r="4" spans="2:57" x14ac:dyDescent="0.2">
      <c r="B4" s="203">
        <v>0.25</v>
      </c>
      <c r="C4" s="203" t="s">
        <v>105</v>
      </c>
      <c r="D4" s="203"/>
      <c r="E4" s="203"/>
      <c r="F4" s="203"/>
      <c r="G4" s="203" t="s">
        <v>89</v>
      </c>
      <c r="H4" s="205" t="s">
        <v>102</v>
      </c>
      <c r="I4" s="210" t="str">
        <f t="array" ref="I4">IFERROR(
 INDEX(
  SCHEDULE!$A$1:$A$76,
   SMALL(
   IF(
    (ISNUMBER(SEARCH("█",SCHEDULE!F$1:F$76)))*
   ( (SCHEDULE!E$1:E$76=$B4)+(SCHEDULE!E$1:E$76=$C4)+(SCHEDULE!E$1:E$76=$D4)+(SCHEDULE!E$1:E$76=$E4)+(SCHEDULE!E$1:E$76=$F4)+ (SCHEDULE!G$1:G$76=$G4) ),
     ROW(SCHEDULE!AN$1:AN$76),
     ""
    ),COUNTIF($H$1:$H4,$H4)
  )
 ),"
Missing")</f>
        <v>Milena Norton</v>
      </c>
      <c r="J4" s="210" t="str">
        <f t="array" ref="J4">IFERROR(
 INDEX(
  SCHEDULE!$A$1:$A$76,
   SMALL(
   IF(
    (ISNUMBER(SEARCH("█",SCHEDULE!G$1:G$76)))*
   ( (SCHEDULE!F$1:F$76=$B4)+(SCHEDULE!F$1:F$76=$C4)+(SCHEDULE!F$1:F$76=$D4)+(SCHEDULE!F$1:F$76=$E4)+(SCHEDULE!F$1:F$76=$F4)+ (SCHEDULE!H$1:H$76=$G4) ),
     ROW(SCHEDULE!AO$1:AO$76),
     ""
    ),COUNTIF($H$1:$H4,$H4)
  )
 ),"
Missing")</f>
        <v xml:space="preserve">
Missing</v>
      </c>
      <c r="K4" s="210" t="str">
        <f t="array" ref="K4">IFERROR(
 INDEX(
  SCHEDULE!$A$1:$A$76,
   SMALL(
   IF(
    (ISNUMBER(SEARCH("█",SCHEDULE!H$1:H$76)))*
   ( (SCHEDULE!G$1:G$76=$B4)+(SCHEDULE!G$1:G$76=$C4)+(SCHEDULE!G$1:G$76=$D4)+(SCHEDULE!G$1:G$76=$E4)+(SCHEDULE!G$1:G$76=$F4)+ (SCHEDULE!I$1:I$76=$G4) ),
     ROW(SCHEDULE!AP$1:AP$76),
     ""
    ),COUNTIF($H$1:$H4,$H4)
  )
 ),"
Missing")</f>
        <v xml:space="preserve">
Missing</v>
      </c>
      <c r="L4" s="210" t="str">
        <f t="array" ref="L4">IFERROR(
 INDEX(
  SCHEDULE!$A$1:$A$76,
   SMALL(
   IF(
    (ISNUMBER(SEARCH("█",SCHEDULE!I$1:I$76)))*
   ( (SCHEDULE!H$1:H$76=$B4)+(SCHEDULE!H$1:H$76=$C4)+(SCHEDULE!H$1:H$76=$D4)+(SCHEDULE!H$1:H$76=$E4)+(SCHEDULE!H$1:H$76=$F4)+ (SCHEDULE!J$1:J$76=$G4) ),
     ROW(SCHEDULE!AQ$1:AQ$76),
     ""
    ),COUNTIF($H$1:$H4,$H4)
  )
 ),"
Missing")</f>
        <v xml:space="preserve">
Missing</v>
      </c>
      <c r="M4" s="210" t="str">
        <f t="array" ref="M4">IFERROR(
 INDEX(
  SCHEDULE!$A$1:$A$76,
   SMALL(
   IF(
    (ISNUMBER(SEARCH("█",SCHEDULE!J$1:J$76)))*
   ( (SCHEDULE!I$1:I$76=$B4)+(SCHEDULE!I$1:I$76=$C4)+(SCHEDULE!I$1:I$76=$D4)+(SCHEDULE!I$1:I$76=$E4)+(SCHEDULE!I$1:I$76=$F4)+ (SCHEDULE!K$1:K$76=$G4) ),
     ROW(SCHEDULE!AR$1:AR$76),
     ""
    ),COUNTIF($H$1:$H4,$H4)
  )
 ),"
Missing")</f>
        <v>Tim Marshall</v>
      </c>
      <c r="N4" s="210" t="str">
        <f t="array" ref="N4">IFERROR(
 INDEX(
  SCHEDULE!$A$1:$A$76,
   SMALL(
   IF(
    (ISNUMBER(SEARCH("█",SCHEDULE!K$1:K$76)))*
   ( (SCHEDULE!J$1:J$76=$B4)+(SCHEDULE!J$1:J$76=$C4)+(SCHEDULE!J$1:J$76=$D4)+(SCHEDULE!J$1:J$76=$E4)+(SCHEDULE!J$1:J$76=$F4)+ (SCHEDULE!L$1:L$76=$G4) ),
     ROW(SCHEDULE!AS$1:AS$76),
     ""
    ),COUNTIF($H$1:$H4,$H4)
  )
 ),"
Missing")</f>
        <v xml:space="preserve">
Missing</v>
      </c>
      <c r="O4" s="210" t="str">
        <f t="array" ref="O4">IFERROR(
 INDEX(
  SCHEDULE!$A$1:$A$76,
   SMALL(
   IF(
    (ISNUMBER(SEARCH("█",SCHEDULE!L$1:L$76)))*
   ( (SCHEDULE!K$1:K$76=$B4)+(SCHEDULE!K$1:K$76=$C4)+(SCHEDULE!K$1:K$76=$D4)+(SCHEDULE!K$1:K$76=$E4)+(SCHEDULE!K$1:K$76=$F4)+ (SCHEDULE!M$1:M$76=$G4) ),
     ROW(SCHEDULE!AT$1:AT$76),
     ""
    ),COUNTIF($H$1:$H4,$H4)
  )
 ),"
Missing")</f>
        <v xml:space="preserve">
Missing</v>
      </c>
      <c r="P4" s="210" t="str">
        <f t="array" ref="P4">IFERROR(
 INDEX(
  SCHEDULE!$A$1:$A$76,
   SMALL(
   IF(
    (ISNUMBER(SEARCH("█",SCHEDULE!M$1:M$76)))*
   ( (SCHEDULE!L$1:L$76=$B4)+(SCHEDULE!L$1:L$76=$C4)+(SCHEDULE!L$1:L$76=$D4)+(SCHEDULE!L$1:L$76=$E4)+(SCHEDULE!L$1:L$76=$F4)+ (SCHEDULE!N$1:N$76=$G4) ),
     ROW(SCHEDULE!AU$1:AU$76),
     ""
    ),COUNTIF($H$1:$H4,$H4)
  )
 ),"
Missing")</f>
        <v>Ian Bathelt</v>
      </c>
      <c r="Q4" s="210" t="str">
        <f t="array" ref="Q4">IFERROR(
 INDEX(
  SCHEDULE!$A$1:$A$76,
   SMALL(
   IF(
    (ISNUMBER(SEARCH("█",SCHEDULE!N$1:N$76)))*
   ( (SCHEDULE!M$1:M$76=$B4)+(SCHEDULE!M$1:M$76=$C4)+(SCHEDULE!M$1:M$76=$D4)+(SCHEDULE!M$1:M$76=$E4)+(SCHEDULE!M$1:M$76=$F4)+ (SCHEDULE!O$1:O$76=$G4) ),
     ROW(SCHEDULE!AV$1:AV$76),
     ""
    ),COUNTIF($H$1:$H4,$H4)
  )
 ),"
Missing")</f>
        <v xml:space="preserve">
Missing</v>
      </c>
      <c r="R4" s="210" t="str">
        <f t="array" ref="R4">IFERROR(
 INDEX(
  SCHEDULE!$A$1:$A$76,
   SMALL(
   IF(
    (ISNUMBER(SEARCH("█",SCHEDULE!O$1:O$76)))*
   ( (SCHEDULE!N$1:N$76=$B4)+(SCHEDULE!N$1:N$76=$C4)+(SCHEDULE!N$1:N$76=$D4)+(SCHEDULE!N$1:N$76=$E4)+(SCHEDULE!N$1:N$76=$F4)+ (SCHEDULE!P$1:P$76=$G4) ),
     ROW(SCHEDULE!AW$1:AW$76),
     ""
    ),COUNTIF($H$1:$H4,$H4)
  )
 ),"
Missing")</f>
        <v xml:space="preserve">
Missing</v>
      </c>
      <c r="S4" s="210" t="str">
        <f t="array" ref="S4">IFERROR(
 INDEX(
  SCHEDULE!$A$1:$A$76,
   SMALL(
   IF(
    (ISNUMBER(SEARCH("█",SCHEDULE!P$1:P$76)))*
   ( (SCHEDULE!O$1:O$76=$B4)+(SCHEDULE!O$1:O$76=$C4)+(SCHEDULE!O$1:O$76=$D4)+(SCHEDULE!O$1:O$76=$E4)+(SCHEDULE!O$1:O$76=$F4)+ (SCHEDULE!Q$1:Q$76=$G4) ),
     ROW(SCHEDULE!AX$1:AX$76),
     ""
    ),COUNTIF($H$1:$H4,$H4)
  )
 ),"
Missing")</f>
        <v>Ian Bathelt</v>
      </c>
      <c r="T4" s="210" t="str">
        <f t="array" ref="T4">IFERROR(
 INDEX(
  SCHEDULE!$A$1:$A$76,
   SMALL(
   IF(
    (ISNUMBER(SEARCH("█",SCHEDULE!Q$1:Q$76)))*
   ( (SCHEDULE!P$1:P$76=$B4)+(SCHEDULE!P$1:P$76=$C4)+(SCHEDULE!P$1:P$76=$D4)+(SCHEDULE!P$1:P$76=$E4)+(SCHEDULE!P$1:P$76=$F4)+ (SCHEDULE!R$1:R$76=$G4) ),
     ROW(SCHEDULE!AY$1:AY$76),
     ""
    ),COUNTIF($H$1:$H4,$H4)
  )
 ),"
Missing")</f>
        <v xml:space="preserve">
Missing</v>
      </c>
      <c r="U4" s="210" t="str">
        <f t="array" ref="U4">IFERROR(
 INDEX(
  SCHEDULE!$A$1:$A$76,
   SMALL(
   IF(
    (ISNUMBER(SEARCH("█",SCHEDULE!R$1:R$76)))*
   ( (SCHEDULE!Q$1:Q$76=$B4)+(SCHEDULE!Q$1:Q$76=$C4)+(SCHEDULE!Q$1:Q$76=$D4)+(SCHEDULE!Q$1:Q$76=$E4)+(SCHEDULE!Q$1:Q$76=$F4)+ (SCHEDULE!S$1:S$76=$G4) ),
     ROW(SCHEDULE!AZ$1:AZ$76),
     ""
    ),COUNTIF($H$1:$H4,$H4)
  )
 ),"
Missing")</f>
        <v xml:space="preserve">
Missing</v>
      </c>
      <c r="V4" s="210" t="str">
        <f t="array" ref="V4">IFERROR(
 INDEX(
  SCHEDULE!$A$1:$A$76,
   SMALL(
   IF(
    (ISNUMBER(SEARCH("█",SCHEDULE!S$1:S$76)))*
   ( (SCHEDULE!R$1:R$76=$B4)+(SCHEDULE!R$1:R$76=$C4)+(SCHEDULE!R$1:R$76=$D4)+(SCHEDULE!R$1:R$76=$E4)+(SCHEDULE!R$1:R$76=$F4)+ (SCHEDULE!T$1:T$76=$G4) ),
     ROW(SCHEDULE!BA$1:BA$76),
     ""
    ),COUNTIF($H$1:$H4,$H4)
  )
 ),"
Missing")</f>
        <v>Ian Bathelt</v>
      </c>
      <c r="W4" s="210" t="str">
        <f t="array" ref="W4">IFERROR(
 INDEX(
  SCHEDULE!$A$1:$A$76,
   SMALL(
   IF(
    (ISNUMBER(SEARCH("█",SCHEDULE!T$1:T$76)))*
   ( (SCHEDULE!S$1:S$76=$B4)+(SCHEDULE!S$1:S$76=$C4)+(SCHEDULE!S$1:S$76=$D4)+(SCHEDULE!S$1:S$76=$E4)+(SCHEDULE!S$1:S$76=$F4)+ (SCHEDULE!U$1:U$76=$G4) ),
     ROW(SCHEDULE!BB$1:BB$76),
     ""
    ),COUNTIF($H$1:$H4,$H4)
  )
 ),"
Missing")</f>
        <v xml:space="preserve">
Missing</v>
      </c>
      <c r="X4" s="210" t="str">
        <f t="array" ref="X4">IFERROR(
 INDEX(
  SCHEDULE!$A$1:$A$76,
   SMALL(
   IF(
    (ISNUMBER(SEARCH("█",SCHEDULE!U$1:U$76)))*
   ( (SCHEDULE!T$1:T$76=$B4)+(SCHEDULE!T$1:T$76=$C4)+(SCHEDULE!T$1:T$76=$D4)+(SCHEDULE!T$1:T$76=$E4)+(SCHEDULE!T$1:T$76=$F4)+ (SCHEDULE!V$1:V$76=$G4) ),
     ROW(SCHEDULE!BC$1:BC$76),
     ""
    ),COUNTIF($H$1:$H4,$H4)
  )
 ),"
Missing")</f>
        <v xml:space="preserve">
Missing</v>
      </c>
      <c r="Y4" s="210" t="str">
        <f t="array" ref="Y4">IFERROR(
 INDEX(
  SCHEDULE!$A$1:$A$76,
   SMALL(
   IF(
    (ISNUMBER(SEARCH("█",SCHEDULE!V$1:V$76)))*
   ( (SCHEDULE!U$1:U$76=$B4)+(SCHEDULE!U$1:U$76=$C4)+(SCHEDULE!U$1:U$76=$D4)+(SCHEDULE!U$1:U$76=$E4)+(SCHEDULE!U$1:U$76=$F4)+ (SCHEDULE!W$1:W$76=$G4) ),
     ROW(SCHEDULE!BD$1:BD$76),
     ""
    ),COUNTIF($H$1:$H4,$H4)
  )
 ),"
Missing")</f>
        <v>Ian Bathelt</v>
      </c>
      <c r="Z4" s="210" t="str">
        <f t="array" ref="Z4">IFERROR(
 INDEX(
  SCHEDULE!$A$1:$A$76,
   SMALL(
   IF(
    (ISNUMBER(SEARCH("█",SCHEDULE!W$1:W$76)))*
   ( (SCHEDULE!V$1:V$76=$B4)+(SCHEDULE!V$1:V$76=$C4)+(SCHEDULE!V$1:V$76=$D4)+(SCHEDULE!V$1:V$76=$E4)+(SCHEDULE!V$1:V$76=$F4)+ (SCHEDULE!X$1:X$76=$G4) ),
     ROW(SCHEDULE!BE$1:BE$76),
     ""
    ),COUNTIF($H$1:$H4,$H4)
  )
 ),"
Missing")</f>
        <v xml:space="preserve">
Missing</v>
      </c>
      <c r="AA4" s="210" t="str">
        <f t="array" ref="AA4">IFERROR(
 INDEX(
  SCHEDULE!$A$1:$A$76,
   SMALL(
   IF(
    (ISNUMBER(SEARCH("█",SCHEDULE!X$1:X$76)))*
   ( (SCHEDULE!W$1:W$76=$B4)+(SCHEDULE!W$1:W$76=$C4)+(SCHEDULE!W$1:W$76=$D4)+(SCHEDULE!W$1:W$76=$E4)+(SCHEDULE!W$1:W$76=$F4)+ (SCHEDULE!Y$1:Y$76=$G4) ),
     ROW(SCHEDULE!BF$1:BF$76),
     ""
    ),COUNTIF($H$1:$H4,$H4)
  )
 ),"
Missing")</f>
        <v xml:space="preserve">
Missing</v>
      </c>
      <c r="AB4" s="210" t="str">
        <f t="array" ref="AB4">IFERROR(
 INDEX(
  SCHEDULE!$A$1:$A$76,
   SMALL(
   IF(
    (ISNUMBER(SEARCH("█",SCHEDULE!Y$1:Y$76)))*
   ( (SCHEDULE!X$1:X$76=$B4)+(SCHEDULE!X$1:X$76=$C4)+(SCHEDULE!X$1:X$76=$D4)+(SCHEDULE!X$1:X$76=$E4)+(SCHEDULE!X$1:X$76=$F4)+ (SCHEDULE!Z$1:Z$76=$G4) ),
     ROW(SCHEDULE!BG$1:BG$76),
     ""
    ),COUNTIF($H$1:$H4,$H4)
  )
 ),"
Missing")</f>
        <v>Ian Bathelt</v>
      </c>
      <c r="AC4" s="210" t="str">
        <f t="array" ref="AC4">IFERROR(
 INDEX(
  SCHEDULE!$A$1:$A$76,
   SMALL(
   IF(
    (ISNUMBER(SEARCH("█",SCHEDULE!Z$1:Z$76)))*
   ( (SCHEDULE!Y$1:Y$76=$B4)+(SCHEDULE!Y$1:Y$76=$C4)+(SCHEDULE!Y$1:Y$76=$D4)+(SCHEDULE!Y$1:Y$76=$E4)+(SCHEDULE!Y$1:Y$76=$F4)+ (SCHEDULE!AA$1:AA$76=$G4) ),
     ROW(SCHEDULE!BH$1:BH$76),
     ""
    ),COUNTIF($H$1:$H4,$H4)
  )
 ),"
Missing")</f>
        <v xml:space="preserve">
Missing</v>
      </c>
      <c r="AD4" s="210" t="str">
        <f t="array" ref="AD4">IFERROR(
 INDEX(
  SCHEDULE!$A$1:$A$76,
   SMALL(
   IF(
    (ISNUMBER(SEARCH("█",SCHEDULE!AA$1:AA$76)))*
   ( (SCHEDULE!Z$1:Z$76=$B4)+(SCHEDULE!Z$1:Z$76=$C4)+(SCHEDULE!Z$1:Z$76=$D4)+(SCHEDULE!Z$1:Z$76=$E4)+(SCHEDULE!Z$1:Z$76=$F4)+ (SCHEDULE!AB$1:AB$76=$G4) ),
     ROW(SCHEDULE!BI$1:BI$76),
     ""
    ),COUNTIF($H$1:$H4,$H4)
  )
 ),"
Missing")</f>
        <v xml:space="preserve">
Missing</v>
      </c>
      <c r="AE4" s="210" t="str">
        <f t="array" ref="AE4">IFERROR(
 INDEX(
  SCHEDULE!$A$1:$A$76,
   SMALL(
   IF(
    (ISNUMBER(SEARCH("█",SCHEDULE!AB$1:AB$76)))*
   ( (SCHEDULE!AA$1:AA$76=$B4)+(SCHEDULE!AA$1:AA$76=$C4)+(SCHEDULE!AA$1:AA$76=$D4)+(SCHEDULE!AA$1:AA$76=$E4)+(SCHEDULE!AA$1:AA$76=$F4)+ (SCHEDULE!AC$1:AC$76=$G4) ),
     ROW(SCHEDULE!BJ$1:BJ$76),
     ""
    ),COUNTIF($H$1:$H4,$H4)
  )
 ),"
Missing")</f>
        <v>Bret Rowan</v>
      </c>
      <c r="AF4" s="210" t="str">
        <f t="array" ref="AF4">IFERROR(
 INDEX(
  SCHEDULE!$A$1:$A$76,
   SMALL(
   IF(
    (ISNUMBER(SEARCH("█",SCHEDULE!AC$1:AC$76)))*
   ( (SCHEDULE!AB$1:AB$76=$B4)+(SCHEDULE!AB$1:AB$76=$C4)+(SCHEDULE!AB$1:AB$76=$D4)+(SCHEDULE!AB$1:AB$76=$E4)+(SCHEDULE!AB$1:AB$76=$F4)+ (SCHEDULE!AD$1:AD$76=$G4) ),
     ROW(SCHEDULE!BK$1:BK$76),
     ""
    ),COUNTIF($H$1:$H4,$H4)
  )
 ),"
Missing")</f>
        <v xml:space="preserve">
Missing</v>
      </c>
      <c r="AG4" s="210" t="str">
        <f t="array" ref="AG4">IFERROR(
 INDEX(
  SCHEDULE!$A$1:$A$76,
   SMALL(
   IF(
    (ISNUMBER(SEARCH("█",SCHEDULE!AD$1:AD$76)))*
   ( (SCHEDULE!AC$1:AC$76=$B4)+(SCHEDULE!AC$1:AC$76=$C4)+(SCHEDULE!AC$1:AC$76=$D4)+(SCHEDULE!AC$1:AC$76=$E4)+(SCHEDULE!AC$1:AC$76=$F4)+ (SCHEDULE!AE$1:AE$76=$G4) ),
     ROW(SCHEDULE!BL$1:BL$76),
     ""
    ),COUNTIF($H$1:$H4,$H4)
  )
 ),"
Missing")</f>
        <v xml:space="preserve">
Missing</v>
      </c>
      <c r="AH4" s="210" t="str">
        <f t="array" ref="AH4">IFERROR(
 INDEX(
  SCHEDULE!$A$1:$A$76,
   SMALL(
   IF(
    (ISNUMBER(SEARCH("█",SCHEDULE!AE$1:AE$76)))*
   ( (SCHEDULE!AD$1:AD$76=$B4)+(SCHEDULE!AD$1:AD$76=$C4)+(SCHEDULE!AD$1:AD$76=$D4)+(SCHEDULE!AD$1:AD$76=$E4)+(SCHEDULE!AD$1:AD$76=$F4)+ (SCHEDULE!AF$1:AF$76=$G4) ),
     ROW(SCHEDULE!BM$1:BM$76),
     ""
    ),COUNTIF($H$1:$H4,$H4)
  )
 ),"
Missing")</f>
        <v xml:space="preserve">
Missing</v>
      </c>
      <c r="AI4" s="210" t="str">
        <f t="array" ref="AI4">IFERROR(
 INDEX(
  SCHEDULE!$A$1:$A$76,
   SMALL(
   IF(
    (ISNUMBER(SEARCH("█",SCHEDULE!AF$1:AF$76)))*
   ( (SCHEDULE!AE$1:AE$76=$B4)+(SCHEDULE!AE$1:AE$76=$C4)+(SCHEDULE!AE$1:AE$76=$D4)+(SCHEDULE!AE$1:AE$76=$E4)+(SCHEDULE!AE$1:AE$76=$F4)+ (SCHEDULE!AG$1:AG$76=$G4) ),
     ROW(SCHEDULE!BN$1:BN$76),
     ""
    ),COUNTIF($H$1:$H4,$H4)
  )
 ),"
Missing")</f>
        <v>Milena Norton</v>
      </c>
      <c r="AJ4" s="210" t="str">
        <f t="array" ref="AJ4">IFERROR(
 INDEX(
  SCHEDULE!$A$1:$A$76,
   SMALL(
   IF(
    (ISNUMBER(SEARCH("█",SCHEDULE!AG$1:AG$76)))*
   ( (SCHEDULE!AF$1:AF$76=$B4)+(SCHEDULE!AF$1:AF$76=$C4)+(SCHEDULE!AF$1:AF$76=$D4)+(SCHEDULE!AF$1:AF$76=$E4)+(SCHEDULE!AF$1:AF$76=$F4)+ (SCHEDULE!AH$1:AH$76=$G4) ),
     ROW(SCHEDULE!BO$1:BO$76),
     ""
    ),COUNTIF($H$1:$H4,$H4)
  )
 ),"
Missing")</f>
        <v xml:space="preserve">
Missing</v>
      </c>
      <c r="AK4" s="210" t="str">
        <f t="array" ref="AK4">IFERROR(
 INDEX(
  SCHEDULE!$A$1:$A$76,
   SMALL(
   IF(
    (ISNUMBER(SEARCH("█",SCHEDULE!AH$1:AH$76)))*
   ( (SCHEDULE!AG$1:AG$76=$B4)+(SCHEDULE!AG$1:AG$76=$C4)+(SCHEDULE!AG$1:AG$76=$D4)+(SCHEDULE!AG$1:AG$76=$E4)+(SCHEDULE!AG$1:AG$76=$F4)+ (SCHEDULE!AI$1:AI$76=$G4) ),
     ROW(SCHEDULE!BP$1:BP$76),
     ""
    ),COUNTIF($H$1:$H4,$H4)
  )
 ),"
Missing")</f>
        <v xml:space="preserve">
Missing</v>
      </c>
      <c r="AL4" s="210" t="str">
        <f t="array" ref="AL4">IFERROR(
 INDEX(
  SCHEDULE!$A$1:$A$76,
   SMALL(
   IF(
    (ISNUMBER(SEARCH("█",SCHEDULE!AI$1:AI$76)))*
   ( (SCHEDULE!AH$1:AH$76=$B4)+(SCHEDULE!AH$1:AH$76=$C4)+(SCHEDULE!AH$1:AH$76=$D4)+(SCHEDULE!AH$1:AH$76=$E4)+(SCHEDULE!AH$1:AH$76=$F4)+ (SCHEDULE!AJ$1:AJ$76=$G4) ),
     ROW(SCHEDULE!BQ$1:BQ$76),
     ""
    ),COUNTIF($H$1:$H4,$H4)
  )
 ),"
Missing")</f>
        <v>Ian Bathelt</v>
      </c>
      <c r="AM4" s="210" t="str">
        <f t="array" ref="AM4">IFERROR(
 INDEX(
  SCHEDULE!$A$1:$A$76,
   SMALL(
   IF(
    (ISNUMBER(SEARCH("█",SCHEDULE!AJ$1:AJ$76)))*
   ( (SCHEDULE!AI$1:AI$76=$B4)+(SCHEDULE!AI$1:AI$76=$C4)+(SCHEDULE!AI$1:AI$76=$D4)+(SCHEDULE!AI$1:AI$76=$E4)+(SCHEDULE!AI$1:AI$76=$F4)+ (SCHEDULE!AK$1:AK$76=$G4) ),
     ROW(SCHEDULE!BR$1:BR$76),
     ""
    ),COUNTIF($H$1:$H4,$H4)
  )
 ),"
Missing")</f>
        <v xml:space="preserve">
Missing</v>
      </c>
      <c r="AN4" s="210" t="str">
        <f t="array" ref="AN4">IFERROR(
 INDEX(
  SCHEDULE!$A$1:$A$76,
   SMALL(
   IF(
    (ISNUMBER(SEARCH("█",SCHEDULE!AK$1:AK$76)))*
   ( (SCHEDULE!AJ$1:AJ$76=$B4)+(SCHEDULE!AJ$1:AJ$76=$C4)+(SCHEDULE!AJ$1:AJ$76=$D4)+(SCHEDULE!AJ$1:AJ$76=$E4)+(SCHEDULE!AJ$1:AJ$76=$F4)+ (SCHEDULE!AL$1:AL$76=$G4) ),
     ROW(SCHEDULE!BS$1:BS$76),
     ""
    ),COUNTIF($H$1:$H4,$H4)
  )
 ),"
Missing")</f>
        <v xml:space="preserve">
Missing</v>
      </c>
      <c r="AO4" s="210" t="str">
        <f t="array" ref="AO4">IFERROR(
 INDEX(
  SCHEDULE!$A$1:$A$76,
   SMALL(
   IF(
    (ISNUMBER(SEARCH("█",SCHEDULE!AL$1:AL$76)))*
   ( (SCHEDULE!AK$1:AK$76=$B4)+(SCHEDULE!AK$1:AK$76=$C4)+(SCHEDULE!AK$1:AK$76=$D4)+(SCHEDULE!AK$1:AK$76=$E4)+(SCHEDULE!AK$1:AK$76=$F4)+ (SCHEDULE!AM$1:AM$76=$G4) ),
     ROW(SCHEDULE!BT$1:BT$76),
     ""
    ),COUNTIF($H$1:$H4,$H4)
  )
 ),"
Missing")</f>
        <v>Ian Bathelt</v>
      </c>
      <c r="AP4" s="210" t="str">
        <f t="array" ref="AP4">IFERROR(
 INDEX(
  SCHEDULE!$A$1:$A$76,
   SMALL(
   IF(
    (ISNUMBER(SEARCH("█",SCHEDULE!AM$1:AM$76)))*
   ( (SCHEDULE!AL$1:AL$76=$B4)+(SCHEDULE!AL$1:AL$76=$C4)+(SCHEDULE!AL$1:AL$76=$D4)+(SCHEDULE!AL$1:AL$76=$E4)+(SCHEDULE!AL$1:AL$76=$F4)+ (SCHEDULE!AN$1:AN$76=$G4) ),
     ROW(SCHEDULE!BU$1:BU$76),
     ""
    ),COUNTIF($H$1:$H4,$H4)
  )
 ),"
Missing")</f>
        <v xml:space="preserve">
Missing</v>
      </c>
      <c r="AQ4" s="210" t="str">
        <f t="array" ref="AQ4">IFERROR(
 INDEX(
  SCHEDULE!$A$1:$A$76,
   SMALL(
   IF(
    (ISNUMBER(SEARCH("█",SCHEDULE!AN$1:AN$76)))*
   ( (SCHEDULE!AM$1:AM$76=$B4)+(SCHEDULE!AM$1:AM$76=$C4)+(SCHEDULE!AM$1:AM$76=$D4)+(SCHEDULE!AM$1:AM$76=$E4)+(SCHEDULE!AM$1:AM$76=$F4)+ (SCHEDULE!AO$1:AO$76=$G4) ),
     ROW(SCHEDULE!BV$1:BV$76),
     ""
    ),COUNTIF($H$1:$H4,$H4)
  )
 ),"
Missing")</f>
        <v xml:space="preserve">
Missing</v>
      </c>
      <c r="AR4" s="210" t="str">
        <f t="array" ref="AR4">IFERROR(
 INDEX(
  SCHEDULE!$A$1:$A$76,
   SMALL(
   IF(
    (ISNUMBER(SEARCH("█",SCHEDULE!AO$1:AO$76)))*
   ( (SCHEDULE!AN$1:AN$76=$B4)+(SCHEDULE!AN$1:AN$76=$C4)+(SCHEDULE!AN$1:AN$76=$D4)+(SCHEDULE!AN$1:AN$76=$E4)+(SCHEDULE!AN$1:AN$76=$F4)+ (SCHEDULE!AP$1:AP$76=$G4) ),
     ROW(SCHEDULE!BW$1:BW$76),
     ""
    ),COUNTIF($H$1:$H4,$H4)
  )
 ),"
Missing")</f>
        <v>Ian Bathelt</v>
      </c>
      <c r="AS4" s="210" t="str">
        <f t="array" ref="AS4">IFERROR(
 INDEX(
  SCHEDULE!$A$1:$A$76,
   SMALL(
   IF(
    (ISNUMBER(SEARCH("█",SCHEDULE!AP$1:AP$76)))*
   ( (SCHEDULE!AO$1:AO$76=$B4)+(SCHEDULE!AO$1:AO$76=$C4)+(SCHEDULE!AO$1:AO$76=$D4)+(SCHEDULE!AO$1:AO$76=$E4)+(SCHEDULE!AO$1:AO$76=$F4)+ (SCHEDULE!AQ$1:AQ$76=$G4) ),
     ROW(SCHEDULE!BX$1:BX$76),
     ""
    ),COUNTIF($H$1:$H4,$H4)
  )
 ),"
Missing")</f>
        <v xml:space="preserve">
Missing</v>
      </c>
      <c r="AT4" s="210" t="str">
        <f t="array" ref="AT4">IFERROR(
 INDEX(
  SCHEDULE!$A$1:$A$76,
   SMALL(
   IF(
    (ISNUMBER(SEARCH("█",SCHEDULE!AQ$1:AQ$76)))*
   ( (SCHEDULE!AP$1:AP$76=$B4)+(SCHEDULE!AP$1:AP$76=$C4)+(SCHEDULE!AP$1:AP$76=$D4)+(SCHEDULE!AP$1:AP$76=$E4)+(SCHEDULE!AP$1:AP$76=$F4)+ (SCHEDULE!AR$1:AR$76=$G4) ),
     ROW(SCHEDULE!BY$1:BY$76),
     ""
    ),COUNTIF($H$1:$H4,$H4)
  )
 ),"
Missing")</f>
        <v xml:space="preserve">
Missing</v>
      </c>
      <c r="AU4" s="210" t="str">
        <f t="array" ref="AU4">IFERROR(
 INDEX(
  SCHEDULE!$A$1:$A$76,
   SMALL(
   IF(
    (ISNUMBER(SEARCH("█",SCHEDULE!AR$1:AR$76)))*
   ( (SCHEDULE!AQ$1:AQ$76=$B4)+(SCHEDULE!AQ$1:AQ$76=$C4)+(SCHEDULE!AQ$1:AQ$76=$D4)+(SCHEDULE!AQ$1:AQ$76=$E4)+(SCHEDULE!AQ$1:AQ$76=$F4)+ (SCHEDULE!AS$1:AS$76=$G4) ),
     ROW(SCHEDULE!BZ$1:BZ$76),
     ""
    ),COUNTIF($H$1:$H4,$H4)
  )
 ),"
Missing")</f>
        <v>Johan Scholte</v>
      </c>
      <c r="AV4" s="210" t="str">
        <f t="array" ref="AV4">IFERROR(
 INDEX(
  SCHEDULE!$A$1:$A$76,
   SMALL(
   IF(
    (ISNUMBER(SEARCH("█",SCHEDULE!AS$1:AS$76)))*
   ( (SCHEDULE!AR$1:AR$76=$B4)+(SCHEDULE!AR$1:AR$76=$C4)+(SCHEDULE!AR$1:AR$76=$D4)+(SCHEDULE!AR$1:AR$76=$E4)+(SCHEDULE!AR$1:AR$76=$F4)+ (SCHEDULE!AT$1:AT$76=$G4) ),
     ROW(SCHEDULE!CA$1:CA$76),
     ""
    ),COUNTIF($H$1:$H4,$H4)
  )
 ),"
Missing")</f>
        <v xml:space="preserve">
Missing</v>
      </c>
      <c r="AW4" s="210" t="str">
        <f t="array" ref="AW4">IFERROR(
 INDEX(
  SCHEDULE!$A$1:$A$76,
   SMALL(
   IF(
    (ISNUMBER(SEARCH("█",SCHEDULE!AT$1:AT$76)))*
   ( (SCHEDULE!AS$1:AS$76=$B4)+(SCHEDULE!AS$1:AS$76=$C4)+(SCHEDULE!AS$1:AS$76=$D4)+(SCHEDULE!AS$1:AS$76=$E4)+(SCHEDULE!AS$1:AS$76=$F4)+ (SCHEDULE!AU$1:AU$76=$G4) ),
     ROW(SCHEDULE!CB$1:CB$76),
     ""
    ),COUNTIF($H$1:$H4,$H4)
  )
 ),"
Missing")</f>
        <v xml:space="preserve">
Missing</v>
      </c>
      <c r="AX4" s="210" t="str">
        <f t="array" ref="AX4">IFERROR(
 INDEX(
  SCHEDULE!$A$1:$A$76,
   SMALL(
   IF(
    (ISNUMBER(SEARCH("█",SCHEDULE!AU$1:AU$76)))*
   ( (SCHEDULE!AT$1:AT$76=$B4)+(SCHEDULE!AT$1:AT$76=$C4)+(SCHEDULE!AT$1:AT$76=$D4)+(SCHEDULE!AT$1:AT$76=$E4)+(SCHEDULE!AT$1:AT$76=$F4)+ (SCHEDULE!AV$1:AV$76=$G4) ),
     ROW(SCHEDULE!CC$1:CC$76),
     ""
    ),COUNTIF($H$1:$H4,$H4)
  )
 ),"
Missing")</f>
        <v>Johan Scholte</v>
      </c>
      <c r="AY4" s="210" t="str">
        <f t="array" ref="AY4">IFERROR(
 INDEX(
  SCHEDULE!$A$1:$A$76,
   SMALL(
   IF(
    (ISNUMBER(SEARCH("█",SCHEDULE!AV$1:AV$76)))*
   ( (SCHEDULE!AU$1:AU$76=$B4)+(SCHEDULE!AU$1:AU$76=$C4)+(SCHEDULE!AU$1:AU$76=$D4)+(SCHEDULE!AU$1:AU$76=$E4)+(SCHEDULE!AU$1:AU$76=$F4)+ (SCHEDULE!AW$1:AW$76=$G4) ),
     ROW(SCHEDULE!CD$1:CD$76),
     ""
    ),COUNTIF($H$1:$H4,$H4)
  )
 ),"
Missing")</f>
        <v xml:space="preserve">
Missing</v>
      </c>
      <c r="AZ4" s="210" t="str">
        <f t="array" ref="AZ4">IFERROR(
 INDEX(
  SCHEDULE!$A$1:$A$76,
   SMALL(
   IF(
    (ISNUMBER(SEARCH("█",SCHEDULE!AW$1:AW$76)))*
   ( (SCHEDULE!AV$1:AV$76=$B4)+(SCHEDULE!AV$1:AV$76=$C4)+(SCHEDULE!AV$1:AV$76=$D4)+(SCHEDULE!AV$1:AV$76=$E4)+(SCHEDULE!AV$1:AV$76=$F4)+ (SCHEDULE!AX$1:AX$76=$G4) ),
     ROW(SCHEDULE!CE$1:CE$76),
     ""
    ),COUNTIF($H$1:$H4,$H4)
  )
 ),"
Missing")</f>
        <v xml:space="preserve">
Missing</v>
      </c>
      <c r="BA4" s="210" t="str">
        <f t="array" ref="BA4">IFERROR(
 INDEX(
  SCHEDULE!$A$1:$A$76,
   SMALL(
   IF(
    (ISNUMBER(SEARCH("█",SCHEDULE!AX$1:AX$76)))*
   ( (SCHEDULE!AW$1:AW$76=$B4)+(SCHEDULE!AW$1:AW$76=$C4)+(SCHEDULE!AW$1:AW$76=$D4)+(SCHEDULE!AW$1:AW$76=$E4)+(SCHEDULE!AW$1:AW$76=$F4)+ (SCHEDULE!AY$1:AY$76=$G4) ),
     ROW(SCHEDULE!CF$1:CF$76),
     ""
    ),COUNTIF($H$1:$H4,$H4)
  )
 ),"
Missing")</f>
        <v>Sean VanBuskirk</v>
      </c>
      <c r="BB4" s="210" t="str">
        <f t="array" ref="BB4">IFERROR(
 INDEX(
  SCHEDULE!$A$1:$A$76,
   SMALL(
   IF(
    (ISNUMBER(SEARCH("█",SCHEDULE!AY$1:AY$76)))*
   ( (SCHEDULE!AX$1:AX$76=$B4)+(SCHEDULE!AX$1:AX$76=$C4)+(SCHEDULE!AX$1:AX$76=$D4)+(SCHEDULE!AX$1:AX$76=$E4)+(SCHEDULE!AX$1:AX$76=$F4)+ (SCHEDULE!AZ$1:AZ$76=$G4) ),
     ROW(SCHEDULE!CG$1:CG$76),
     ""
    ),COUNTIF($H$1:$H4,$H4)
  )
 ),"
Missing")</f>
        <v xml:space="preserve">
Missing</v>
      </c>
      <c r="BC4" s="210" t="str">
        <f t="array" ref="BC4">IFERROR(
 INDEX(
  SCHEDULE!$A$1:$A$76,
   SMALL(
   IF(
    (ISNUMBER(SEARCH("█",SCHEDULE!AZ$1:AZ$76)))*
   ( (SCHEDULE!AY$1:AY$76=$B4)+(SCHEDULE!AY$1:AY$76=$C4)+(SCHEDULE!AY$1:AY$76=$D4)+(SCHEDULE!AY$1:AY$76=$E4)+(SCHEDULE!AY$1:AY$76=$F4)+ (SCHEDULE!BA$1:BA$76=$G4) ),
     ROW(SCHEDULE!CH$1:CH$76),
     ""
    ),COUNTIF($H$1:$H4,$H4)
  )
 ),"
Missing")</f>
        <v xml:space="preserve">
Missing</v>
      </c>
      <c r="BD4" s="210" t="str">
        <f t="array" ref="BD4">IFERROR(
 INDEX(
  SCHEDULE!$A$1:$A$76,
   SMALL(
   IF(
    (ISNUMBER(SEARCH("█",SCHEDULE!BA$1:BA$76)))*
   ( (SCHEDULE!AZ$1:AZ$76=$B4)+(SCHEDULE!AZ$1:AZ$76=$C4)+(SCHEDULE!AZ$1:AZ$76=$D4)+(SCHEDULE!AZ$1:AZ$76=$E4)+(SCHEDULE!AZ$1:AZ$76=$F4)+ (SCHEDULE!BB$1:BB$76=$G4) ),
     ROW(SCHEDULE!CI$1:CI$76),
     ""
    ),COUNTIF($H$1:$H4,$H4)
  )
 ),"
Missing")</f>
        <v xml:space="preserve">
Missing</v>
      </c>
      <c r="BE4" s="210" t="str">
        <f t="array" ref="BE4">IFERROR(
 INDEX(
  SCHEDULE!$A$1:$A$76,
   SMALL(
   IF(
    (ISNUMBER(SEARCH("█",SCHEDULE!BB$1:BB$76)))*
   ( (SCHEDULE!BA$1:BA$76=$B4)+(SCHEDULE!BA$1:BA$76=$C4)+(SCHEDULE!BA$1:BA$76=$D4)+(SCHEDULE!BA$1:BA$76=$E4)+(SCHEDULE!BA$1:BA$76=$F4)+ (SCHEDULE!BC$1:BC$76=$G4) ),
     ROW(SCHEDULE!CJ$1:CJ$76),
     ""
    ),COUNTIF($H$1:$H4,$H4)
  )
 ),"
Missing")</f>
        <v>Tregan Emmett</v>
      </c>
    </row>
    <row r="5" spans="2:57" x14ac:dyDescent="0.2">
      <c r="B5" s="203">
        <v>0.25</v>
      </c>
      <c r="C5" s="203" t="s">
        <v>105</v>
      </c>
      <c r="D5" s="203"/>
      <c r="E5" s="203"/>
      <c r="F5" s="203"/>
      <c r="G5" s="203" t="s">
        <v>89</v>
      </c>
      <c r="H5" s="205" t="s">
        <v>102</v>
      </c>
      <c r="I5" s="210" t="s">
        <v>216</v>
      </c>
      <c r="J5" s="210" t="s">
        <v>216</v>
      </c>
      <c r="K5" s="210" t="s">
        <v>216</v>
      </c>
      <c r="L5" s="210" t="s">
        <v>216</v>
      </c>
      <c r="M5" s="210" t="s">
        <v>216</v>
      </c>
      <c r="N5" s="210" t="str">
        <f t="array" ref="N5">IFERROR(
 INDEX(
  SCHEDULE!$A$1:$A$76,
   SMALL(
   IF(
    (ISNUMBER(SEARCH("█",SCHEDULE!K$1:K$76)))*
   ( (SCHEDULE!J$1:J$76=$B5)+(SCHEDULE!J$1:J$76=$C5)+(SCHEDULE!J$1:J$76=$D5)+(SCHEDULE!J$1:J$76=$E5)+(SCHEDULE!J$1:J$76=$F5)+ (SCHEDULE!L$1:L$76=$G5) ),
     ROW(SCHEDULE!AS$1:AS$76),
     ""
    ),COUNTIF($H$1:$H5,$H5)
  )
 ),"
Missing")</f>
        <v xml:space="preserve">
Missing</v>
      </c>
      <c r="O5" s="210" t="str">
        <f t="array" ref="O5">IFERROR(
 INDEX(
  SCHEDULE!$A$1:$A$76,
   SMALL(
   IF(
    (ISNUMBER(SEARCH("█",SCHEDULE!L$1:L$76)))*
   ( (SCHEDULE!K$1:K$76=$B5)+(SCHEDULE!K$1:K$76=$C5)+(SCHEDULE!K$1:K$76=$D5)+(SCHEDULE!K$1:K$76=$E5)+(SCHEDULE!K$1:K$76=$F5)+ (SCHEDULE!M$1:M$76=$G5) ),
     ROW(SCHEDULE!AT$1:AT$76),
     ""
    ),COUNTIF($H$1:$H5,$H5)
  )
 ),"
Missing")</f>
        <v xml:space="preserve">
Missing</v>
      </c>
      <c r="P5" s="210" t="str">
        <f t="array" ref="P5">IFERROR(
 INDEX(
  SCHEDULE!$A$1:$A$76,
   SMALL(
   IF(
    (ISNUMBER(SEARCH("█",SCHEDULE!M$1:M$76)))*
   ( (SCHEDULE!L$1:L$76=$B5)+(SCHEDULE!L$1:L$76=$C5)+(SCHEDULE!L$1:L$76=$D5)+(SCHEDULE!L$1:L$76=$E5)+(SCHEDULE!L$1:L$76=$F5)+ (SCHEDULE!N$1:N$76=$G5) ),
     ROW(SCHEDULE!AU$1:AU$76),
     ""
    ),COUNTIF($H$1:$H5,$H5)
  )
 ),"
Missing")</f>
        <v>Milena Norton</v>
      </c>
      <c r="Q5" s="210" t="str">
        <f t="array" ref="Q5">IFERROR(
 INDEX(
  SCHEDULE!$A$1:$A$76,
   SMALL(
   IF(
    (ISNUMBER(SEARCH("█",SCHEDULE!N$1:N$76)))*
   ( (SCHEDULE!M$1:M$76=$B5)+(SCHEDULE!M$1:M$76=$C5)+(SCHEDULE!M$1:M$76=$D5)+(SCHEDULE!M$1:M$76=$E5)+(SCHEDULE!M$1:M$76=$F5)+ (SCHEDULE!O$1:O$76=$G5) ),
     ROW(SCHEDULE!AV$1:AV$76),
     ""
    ),COUNTIF($H$1:$H5,$H5)
  )
 ),"
Missing")</f>
        <v xml:space="preserve">
Missing</v>
      </c>
      <c r="R5" s="210" t="str">
        <f t="array" ref="R5">IFERROR(
 INDEX(
  SCHEDULE!$A$1:$A$76,
   SMALL(
   IF(
    (ISNUMBER(SEARCH("█",SCHEDULE!O$1:O$76)))*
   ( (SCHEDULE!N$1:N$76=$B5)+(SCHEDULE!N$1:N$76=$C5)+(SCHEDULE!N$1:N$76=$D5)+(SCHEDULE!N$1:N$76=$E5)+(SCHEDULE!N$1:N$76=$F5)+ (SCHEDULE!P$1:P$76=$G5) ),
     ROW(SCHEDULE!AW$1:AW$76),
     ""
    ),COUNTIF($H$1:$H5,$H5)
  )
 ),"
Missing")</f>
        <v xml:space="preserve">
Missing</v>
      </c>
      <c r="S5" s="210" t="str">
        <f t="array" ref="S5">IFERROR(
 INDEX(
  SCHEDULE!$A$1:$A$76,
   SMALL(
   IF(
    (ISNUMBER(SEARCH("█",SCHEDULE!P$1:P$76)))*
   ( (SCHEDULE!O$1:O$76=$B5)+(SCHEDULE!O$1:O$76=$C5)+(SCHEDULE!O$1:O$76=$D5)+(SCHEDULE!O$1:O$76=$E5)+(SCHEDULE!O$1:O$76=$F5)+ (SCHEDULE!Q$1:Q$76=$G5) ),
     ROW(SCHEDULE!AX$1:AX$76),
     ""
    ),COUNTIF($H$1:$H5,$H5)
  )
 ),"
Missing")</f>
        <v>Milena Norton</v>
      </c>
      <c r="T5" s="210" t="str">
        <f t="array" ref="T5">IFERROR(
 INDEX(
  SCHEDULE!$A$1:$A$76,
   SMALL(
   IF(
    (ISNUMBER(SEARCH("█",SCHEDULE!Q$1:Q$76)))*
   ( (SCHEDULE!P$1:P$76=$B5)+(SCHEDULE!P$1:P$76=$C5)+(SCHEDULE!P$1:P$76=$D5)+(SCHEDULE!P$1:P$76=$E5)+(SCHEDULE!P$1:P$76=$F5)+ (SCHEDULE!R$1:R$76=$G5) ),
     ROW(SCHEDULE!AY$1:AY$76),
     ""
    ),COUNTIF($H$1:$H5,$H5)
  )
 ),"
Missing")</f>
        <v xml:space="preserve">
Missing</v>
      </c>
      <c r="U5" s="210" t="str">
        <f t="array" ref="U5">IFERROR(
 INDEX(
  SCHEDULE!$A$1:$A$76,
   SMALL(
   IF(
    (ISNUMBER(SEARCH("█",SCHEDULE!R$1:R$76)))*
   ( (SCHEDULE!Q$1:Q$76=$B5)+(SCHEDULE!Q$1:Q$76=$C5)+(SCHEDULE!Q$1:Q$76=$D5)+(SCHEDULE!Q$1:Q$76=$E5)+(SCHEDULE!Q$1:Q$76=$F5)+ (SCHEDULE!S$1:S$76=$G5) ),
     ROW(SCHEDULE!AZ$1:AZ$76),
     ""
    ),COUNTIF($H$1:$H5,$H5)
  )
 ),"
Missing")</f>
        <v xml:space="preserve">
Missing</v>
      </c>
      <c r="V5" s="210" t="str">
        <f t="array" ref="V5">IFERROR(
 INDEX(
  SCHEDULE!$A$1:$A$76,
   SMALL(
   IF(
    (ISNUMBER(SEARCH("█",SCHEDULE!S$1:S$76)))*
   ( (SCHEDULE!R$1:R$76=$B5)+(SCHEDULE!R$1:R$76=$C5)+(SCHEDULE!R$1:R$76=$D5)+(SCHEDULE!R$1:R$76=$E5)+(SCHEDULE!R$1:R$76=$F5)+ (SCHEDULE!T$1:T$76=$G5) ),
     ROW(SCHEDULE!BA$1:BA$76),
     ""
    ),COUNTIF($H$1:$H5,$H5)
  )
 ),"
Missing")</f>
        <v>Milena Norton</v>
      </c>
      <c r="W5" s="210" t="str">
        <f t="array" ref="W5">IFERROR(
 INDEX(
  SCHEDULE!$A$1:$A$76,
   SMALL(
   IF(
    (ISNUMBER(SEARCH("█",SCHEDULE!T$1:T$76)))*
   ( (SCHEDULE!S$1:S$76=$B5)+(SCHEDULE!S$1:S$76=$C5)+(SCHEDULE!S$1:S$76=$D5)+(SCHEDULE!S$1:S$76=$E5)+(SCHEDULE!S$1:S$76=$F5)+ (SCHEDULE!U$1:U$76=$G5) ),
     ROW(SCHEDULE!BB$1:BB$76),
     ""
    ),COUNTIF($H$1:$H5,$H5)
  )
 ),"
Missing")</f>
        <v xml:space="preserve">
Missing</v>
      </c>
      <c r="X5" s="210" t="str">
        <f t="array" ref="X5">IFERROR(
 INDEX(
  SCHEDULE!$A$1:$A$76,
   SMALL(
   IF(
    (ISNUMBER(SEARCH("█",SCHEDULE!U$1:U$76)))*
   ( (SCHEDULE!T$1:T$76=$B5)+(SCHEDULE!T$1:T$76=$C5)+(SCHEDULE!T$1:T$76=$D5)+(SCHEDULE!T$1:T$76=$E5)+(SCHEDULE!T$1:T$76=$F5)+ (SCHEDULE!V$1:V$76=$G5) ),
     ROW(SCHEDULE!BC$1:BC$76),
     ""
    ),COUNTIF($H$1:$H5,$H5)
  )
 ),"
Missing")</f>
        <v xml:space="preserve">
Missing</v>
      </c>
      <c r="Y5" s="210" t="str">
        <f t="array" ref="Y5">IFERROR(
 INDEX(
  SCHEDULE!$A$1:$A$76,
   SMALL(
   IF(
    (ISNUMBER(SEARCH("█",SCHEDULE!V$1:V$76)))*
   ( (SCHEDULE!U$1:U$76=$B5)+(SCHEDULE!U$1:U$76=$C5)+(SCHEDULE!U$1:U$76=$D5)+(SCHEDULE!U$1:U$76=$E5)+(SCHEDULE!U$1:U$76=$F5)+ (SCHEDULE!W$1:W$76=$G5) ),
     ROW(SCHEDULE!BD$1:BD$76),
     ""
    ),COUNTIF($H$1:$H5,$H5)
  )
 ),"
Missing")</f>
        <v>Milena Norton</v>
      </c>
      <c r="Z5" s="210" t="str">
        <f t="array" ref="Z5">IFERROR(
 INDEX(
  SCHEDULE!$A$1:$A$76,
   SMALL(
   IF(
    (ISNUMBER(SEARCH("█",SCHEDULE!W$1:W$76)))*
   ( (SCHEDULE!V$1:V$76=$B5)+(SCHEDULE!V$1:V$76=$C5)+(SCHEDULE!V$1:V$76=$D5)+(SCHEDULE!V$1:V$76=$E5)+(SCHEDULE!V$1:V$76=$F5)+ (SCHEDULE!X$1:X$76=$G5) ),
     ROW(SCHEDULE!BE$1:BE$76),
     ""
    ),COUNTIF($H$1:$H5,$H5)
  )
 ),"
Missing")</f>
        <v xml:space="preserve">
Missing</v>
      </c>
      <c r="AA5" s="210" t="str">
        <f t="array" ref="AA5">IFERROR(
 INDEX(
  SCHEDULE!$A$1:$A$76,
   SMALL(
   IF(
    (ISNUMBER(SEARCH("█",SCHEDULE!X$1:X$76)))*
   ( (SCHEDULE!W$1:W$76=$B5)+(SCHEDULE!W$1:W$76=$C5)+(SCHEDULE!W$1:W$76=$D5)+(SCHEDULE!W$1:W$76=$E5)+(SCHEDULE!W$1:W$76=$F5)+ (SCHEDULE!Y$1:Y$76=$G5) ),
     ROW(SCHEDULE!BF$1:BF$76),
     ""
    ),COUNTIF($H$1:$H5,$H5)
  )
 ),"
Missing")</f>
        <v xml:space="preserve">
Missing</v>
      </c>
      <c r="AB5" s="210" t="str">
        <f t="array" ref="AB5">IFERROR(
 INDEX(
  SCHEDULE!$A$1:$A$76,
   SMALL(
   IF(
    (ISNUMBER(SEARCH("█",SCHEDULE!Y$1:Y$76)))*
   ( (SCHEDULE!X$1:X$76=$B5)+(SCHEDULE!X$1:X$76=$C5)+(SCHEDULE!X$1:X$76=$D5)+(SCHEDULE!X$1:X$76=$E5)+(SCHEDULE!X$1:X$76=$F5)+ (SCHEDULE!Z$1:Z$76=$G5) ),
     ROW(SCHEDULE!BG$1:BG$76),
     ""
    ),COUNTIF($H$1:$H5,$H5)
  )
 ),"
Missing")</f>
        <v>Milena Norton</v>
      </c>
      <c r="AC5" s="210" t="str">
        <f t="array" ref="AC5">IFERROR(
 INDEX(
  SCHEDULE!$A$1:$A$76,
   SMALL(
   IF(
    (ISNUMBER(SEARCH("█",SCHEDULE!Z$1:Z$76)))*
   ( (SCHEDULE!Y$1:Y$76=$B5)+(SCHEDULE!Y$1:Y$76=$C5)+(SCHEDULE!Y$1:Y$76=$D5)+(SCHEDULE!Y$1:Y$76=$E5)+(SCHEDULE!Y$1:Y$76=$F5)+ (SCHEDULE!AA$1:AA$76=$G5) ),
     ROW(SCHEDULE!BH$1:BH$76),
     ""
    ),COUNTIF($H$1:$H5,$H5)
  )
 ),"
Missing")</f>
        <v xml:space="preserve">
Missing</v>
      </c>
      <c r="AD5" s="210" t="str">
        <f t="array" ref="AD5">IFERROR(
 INDEX(
  SCHEDULE!$A$1:$A$76,
   SMALL(
   IF(
    (ISNUMBER(SEARCH("█",SCHEDULE!AA$1:AA$76)))*
   ( (SCHEDULE!Z$1:Z$76=$B5)+(SCHEDULE!Z$1:Z$76=$C5)+(SCHEDULE!Z$1:Z$76=$D5)+(SCHEDULE!Z$1:Z$76=$E5)+(SCHEDULE!Z$1:Z$76=$F5)+ (SCHEDULE!AB$1:AB$76=$G5) ),
     ROW(SCHEDULE!BI$1:BI$76),
     ""
    ),COUNTIF($H$1:$H5,$H5)
  )
 ),"
Missing")</f>
        <v xml:space="preserve">
Missing</v>
      </c>
      <c r="AE5" s="210" t="s">
        <v>216</v>
      </c>
      <c r="AF5" s="210" t="s">
        <v>216</v>
      </c>
      <c r="AG5" s="210" t="s">
        <v>216</v>
      </c>
      <c r="AH5" s="210" t="s">
        <v>216</v>
      </c>
      <c r="AI5" s="210" t="s">
        <v>216</v>
      </c>
      <c r="AJ5" s="210" t="str">
        <f t="array" ref="AJ5">IFERROR(
 INDEX(
  SCHEDULE!$A$1:$A$76,
   SMALL(
   IF(
    (ISNUMBER(SEARCH("█",SCHEDULE!AG$1:AG$76)))*
   ( (SCHEDULE!AF$1:AF$76=$B5)+(SCHEDULE!AF$1:AF$76=$C5)+(SCHEDULE!AF$1:AF$76=$D5)+(SCHEDULE!AF$1:AF$76=$E5)+(SCHEDULE!AF$1:AF$76=$F5)+ (SCHEDULE!AH$1:AH$76=$G5) ),
     ROW(SCHEDULE!BO$1:BO$76),
     ""
    ),COUNTIF($H$1:$H5,$H5)
  )
 ),"
Missing")</f>
        <v xml:space="preserve">
Missing</v>
      </c>
      <c r="AK5" s="210" t="str">
        <f t="array" ref="AK5">IFERROR(
 INDEX(
  SCHEDULE!$A$1:$A$76,
   SMALL(
   IF(
    (ISNUMBER(SEARCH("█",SCHEDULE!AH$1:AH$76)))*
   ( (SCHEDULE!AG$1:AG$76=$B5)+(SCHEDULE!AG$1:AG$76=$C5)+(SCHEDULE!AG$1:AG$76=$D5)+(SCHEDULE!AG$1:AG$76=$E5)+(SCHEDULE!AG$1:AG$76=$F5)+ (SCHEDULE!AI$1:AI$76=$G5) ),
     ROW(SCHEDULE!BP$1:BP$76),
     ""
    ),COUNTIF($H$1:$H5,$H5)
  )
 ),"
Missing")</f>
        <v xml:space="preserve">
Missing</v>
      </c>
      <c r="AL5" s="210" t="str">
        <f t="array" ref="AL5">IFERROR(
 INDEX(
  SCHEDULE!$A$1:$A$76,
   SMALL(
   IF(
    (ISNUMBER(SEARCH("█",SCHEDULE!AI$1:AI$76)))*
   ( (SCHEDULE!AH$1:AH$76=$B5)+(SCHEDULE!AH$1:AH$76=$C5)+(SCHEDULE!AH$1:AH$76=$D5)+(SCHEDULE!AH$1:AH$76=$E5)+(SCHEDULE!AH$1:AH$76=$F5)+ (SCHEDULE!AJ$1:AJ$76=$G5) ),
     ROW(SCHEDULE!BQ$1:BQ$76),
     ""
    ),COUNTIF($H$1:$H5,$H5)
  )
 ),"
Missing")</f>
        <v>Milena Norton</v>
      </c>
      <c r="AM5" s="210" t="str">
        <f t="array" ref="AM5">IFERROR(
 INDEX(
  SCHEDULE!$A$1:$A$76,
   SMALL(
   IF(
    (ISNUMBER(SEARCH("█",SCHEDULE!AJ$1:AJ$76)))*
   ( (SCHEDULE!AI$1:AI$76=$B5)+(SCHEDULE!AI$1:AI$76=$C5)+(SCHEDULE!AI$1:AI$76=$D5)+(SCHEDULE!AI$1:AI$76=$E5)+(SCHEDULE!AI$1:AI$76=$F5)+ (SCHEDULE!AK$1:AK$76=$G5) ),
     ROW(SCHEDULE!BR$1:BR$76),
     ""
    ),COUNTIF($H$1:$H5,$H5)
  )
 ),"
Missing")</f>
        <v xml:space="preserve">
Missing</v>
      </c>
      <c r="AN5" s="210" t="str">
        <f t="array" ref="AN5">IFERROR(
 INDEX(
  SCHEDULE!$A$1:$A$76,
   SMALL(
   IF(
    (ISNUMBER(SEARCH("█",SCHEDULE!AK$1:AK$76)))*
   ( (SCHEDULE!AJ$1:AJ$76=$B5)+(SCHEDULE!AJ$1:AJ$76=$C5)+(SCHEDULE!AJ$1:AJ$76=$D5)+(SCHEDULE!AJ$1:AJ$76=$E5)+(SCHEDULE!AJ$1:AJ$76=$F5)+ (SCHEDULE!AL$1:AL$76=$G5) ),
     ROW(SCHEDULE!BS$1:BS$76),
     ""
    ),COUNTIF($H$1:$H5,$H5)
  )
 ),"
Missing")</f>
        <v xml:space="preserve">
Missing</v>
      </c>
      <c r="AO5" s="210" t="str">
        <f t="array" ref="AO5">IFERROR(
 INDEX(
  SCHEDULE!$A$1:$A$76,
   SMALL(
   IF(
    (ISNUMBER(SEARCH("█",SCHEDULE!AL$1:AL$76)))*
   ( (SCHEDULE!AK$1:AK$76=$B5)+(SCHEDULE!AK$1:AK$76=$C5)+(SCHEDULE!AK$1:AK$76=$D5)+(SCHEDULE!AK$1:AK$76=$E5)+(SCHEDULE!AK$1:AK$76=$F5)+ (SCHEDULE!AM$1:AM$76=$G5) ),
     ROW(SCHEDULE!BT$1:BT$76),
     ""
    ),COUNTIF($H$1:$H5,$H5)
  )
 ),"
Missing")</f>
        <v>Milena Norton</v>
      </c>
      <c r="AP5" s="210" t="str">
        <f t="array" ref="AP5">IFERROR(
 INDEX(
  SCHEDULE!$A$1:$A$76,
   SMALL(
   IF(
    (ISNUMBER(SEARCH("█",SCHEDULE!AM$1:AM$76)))*
   ( (SCHEDULE!AL$1:AL$76=$B5)+(SCHEDULE!AL$1:AL$76=$C5)+(SCHEDULE!AL$1:AL$76=$D5)+(SCHEDULE!AL$1:AL$76=$E5)+(SCHEDULE!AL$1:AL$76=$F5)+ (SCHEDULE!AN$1:AN$76=$G5) ),
     ROW(SCHEDULE!BU$1:BU$76),
     ""
    ),COUNTIF($H$1:$H5,$H5)
  )
 ),"
Missing")</f>
        <v xml:space="preserve">
Missing</v>
      </c>
      <c r="AQ5" s="210" t="str">
        <f t="array" ref="AQ5">IFERROR(
 INDEX(
  SCHEDULE!$A$1:$A$76,
   SMALL(
   IF(
    (ISNUMBER(SEARCH("█",SCHEDULE!AN$1:AN$76)))*
   ( (SCHEDULE!AM$1:AM$76=$B5)+(SCHEDULE!AM$1:AM$76=$C5)+(SCHEDULE!AM$1:AM$76=$D5)+(SCHEDULE!AM$1:AM$76=$E5)+(SCHEDULE!AM$1:AM$76=$F5)+ (SCHEDULE!AO$1:AO$76=$G5) ),
     ROW(SCHEDULE!BV$1:BV$76),
     ""
    ),COUNTIF($H$1:$H5,$H5)
  )
 ),"
Missing")</f>
        <v xml:space="preserve">
Missing</v>
      </c>
      <c r="AR5" s="210" t="str">
        <f t="array" ref="AR5">IFERROR(
 INDEX(
  SCHEDULE!$A$1:$A$76,
   SMALL(
   IF(
    (ISNUMBER(SEARCH("█",SCHEDULE!AO$1:AO$76)))*
   ( (SCHEDULE!AN$1:AN$76=$B5)+(SCHEDULE!AN$1:AN$76=$C5)+(SCHEDULE!AN$1:AN$76=$D5)+(SCHEDULE!AN$1:AN$76=$E5)+(SCHEDULE!AN$1:AN$76=$F5)+ (SCHEDULE!AP$1:AP$76=$G5) ),
     ROW(SCHEDULE!BW$1:BW$76),
     ""
    ),COUNTIF($H$1:$H5,$H5)
  )
 ),"
Missing")</f>
        <v>Milena Norton</v>
      </c>
      <c r="AS5" s="210" t="str">
        <f t="array" ref="AS5">IFERROR(
 INDEX(
  SCHEDULE!$A$1:$A$76,
   SMALL(
   IF(
    (ISNUMBER(SEARCH("█",SCHEDULE!AP$1:AP$76)))*
   ( (SCHEDULE!AO$1:AO$76=$B5)+(SCHEDULE!AO$1:AO$76=$C5)+(SCHEDULE!AO$1:AO$76=$D5)+(SCHEDULE!AO$1:AO$76=$E5)+(SCHEDULE!AO$1:AO$76=$F5)+ (SCHEDULE!AQ$1:AQ$76=$G5) ),
     ROW(SCHEDULE!BX$1:BX$76),
     ""
    ),COUNTIF($H$1:$H5,$H5)
  )
 ),"
Missing")</f>
        <v xml:space="preserve">
Missing</v>
      </c>
      <c r="AT5" s="210" t="str">
        <f t="array" ref="AT5">IFERROR(
 INDEX(
  SCHEDULE!$A$1:$A$76,
   SMALL(
   IF(
    (ISNUMBER(SEARCH("█",SCHEDULE!AQ$1:AQ$76)))*
   ( (SCHEDULE!AP$1:AP$76=$B5)+(SCHEDULE!AP$1:AP$76=$C5)+(SCHEDULE!AP$1:AP$76=$D5)+(SCHEDULE!AP$1:AP$76=$E5)+(SCHEDULE!AP$1:AP$76=$F5)+ (SCHEDULE!AR$1:AR$76=$G5) ),
     ROW(SCHEDULE!BY$1:BY$76),
     ""
    ),COUNTIF($H$1:$H5,$H5)
  )
 ),"
Missing")</f>
        <v xml:space="preserve">
Missing</v>
      </c>
      <c r="AU5" s="210" t="str">
        <f t="array" ref="AU5">IFERROR(
 INDEX(
  SCHEDULE!$A$1:$A$76,
   SMALL(
   IF(
    (ISNUMBER(SEARCH("█",SCHEDULE!AR$1:AR$76)))*
   ( (SCHEDULE!AQ$1:AQ$76=$B5)+(SCHEDULE!AQ$1:AQ$76=$C5)+(SCHEDULE!AQ$1:AQ$76=$D5)+(SCHEDULE!AQ$1:AQ$76=$E5)+(SCHEDULE!AQ$1:AQ$76=$F5)+ (SCHEDULE!AS$1:AS$76=$G5) ),
     ROW(SCHEDULE!BZ$1:BZ$76),
     ""
    ),COUNTIF($H$1:$H5,$H5)
  )
 ),"
Missing")</f>
        <v>Milena Norton</v>
      </c>
      <c r="AV5" s="210" t="str">
        <f t="array" ref="AV5">IFERROR(
 INDEX(
  SCHEDULE!$A$1:$A$76,
   SMALL(
   IF(
    (ISNUMBER(SEARCH("█",SCHEDULE!AS$1:AS$76)))*
   ( (SCHEDULE!AR$1:AR$76=$B5)+(SCHEDULE!AR$1:AR$76=$C5)+(SCHEDULE!AR$1:AR$76=$D5)+(SCHEDULE!AR$1:AR$76=$E5)+(SCHEDULE!AR$1:AR$76=$F5)+ (SCHEDULE!AT$1:AT$76=$G5) ),
     ROW(SCHEDULE!CA$1:CA$76),
     ""
    ),COUNTIF($H$1:$H5,$H5)
  )
 ),"
Missing")</f>
        <v xml:space="preserve">
Missing</v>
      </c>
      <c r="AW5" s="210" t="str">
        <f t="array" ref="AW5">IFERROR(
 INDEX(
  SCHEDULE!$A$1:$A$76,
   SMALL(
   IF(
    (ISNUMBER(SEARCH("█",SCHEDULE!AT$1:AT$76)))*
   ( (SCHEDULE!AS$1:AS$76=$B5)+(SCHEDULE!AS$1:AS$76=$C5)+(SCHEDULE!AS$1:AS$76=$D5)+(SCHEDULE!AS$1:AS$76=$E5)+(SCHEDULE!AS$1:AS$76=$F5)+ (SCHEDULE!AU$1:AU$76=$G5) ),
     ROW(SCHEDULE!CB$1:CB$76),
     ""
    ),COUNTIF($H$1:$H5,$H5)
  )
 ),"
Missing")</f>
        <v xml:space="preserve">
Missing</v>
      </c>
      <c r="AX5" s="210" t="str">
        <f t="array" ref="AX5">IFERROR(
 INDEX(
  SCHEDULE!$A$1:$A$76,
   SMALL(
   IF(
    (ISNUMBER(SEARCH("█",SCHEDULE!AU$1:AU$76)))*
   ( (SCHEDULE!AT$1:AT$76=$B5)+(SCHEDULE!AT$1:AT$76=$C5)+(SCHEDULE!AT$1:AT$76=$D5)+(SCHEDULE!AT$1:AT$76=$E5)+(SCHEDULE!AT$1:AT$76=$F5)+ (SCHEDULE!AV$1:AV$76=$G5) ),
     ROW(SCHEDULE!CC$1:CC$76),
     ""
    ),COUNTIF($H$1:$H5,$H5)
  )
 ),"
Missing")</f>
        <v xml:space="preserve">
Missing</v>
      </c>
      <c r="AY5" s="210" t="str">
        <f t="array" ref="AY5">IFERROR(
 INDEX(
  SCHEDULE!$A$1:$A$76,
   SMALL(
   IF(
    (ISNUMBER(SEARCH("█",SCHEDULE!AV$1:AV$76)))*
   ( (SCHEDULE!AU$1:AU$76=$B5)+(SCHEDULE!AU$1:AU$76=$C5)+(SCHEDULE!AU$1:AU$76=$D5)+(SCHEDULE!AU$1:AU$76=$E5)+(SCHEDULE!AU$1:AU$76=$F5)+ (SCHEDULE!AW$1:AW$76=$G5) ),
     ROW(SCHEDULE!CD$1:CD$76),
     ""
    ),COUNTIF($H$1:$H5,$H5)
  )
 ),"
Missing")</f>
        <v xml:space="preserve">
Missing</v>
      </c>
      <c r="AZ5" s="210" t="str">
        <f t="array" ref="AZ5">IFERROR(
 INDEX(
  SCHEDULE!$A$1:$A$76,
   SMALL(
   IF(
    (ISNUMBER(SEARCH("█",SCHEDULE!AW$1:AW$76)))*
   ( (SCHEDULE!AV$1:AV$76=$B5)+(SCHEDULE!AV$1:AV$76=$C5)+(SCHEDULE!AV$1:AV$76=$D5)+(SCHEDULE!AV$1:AV$76=$E5)+(SCHEDULE!AV$1:AV$76=$F5)+ (SCHEDULE!AX$1:AX$76=$G5) ),
     ROW(SCHEDULE!CE$1:CE$76),
     ""
    ),COUNTIF($H$1:$H5,$H5)
  )
 ),"
Missing")</f>
        <v xml:space="preserve">
Missing</v>
      </c>
      <c r="BA5" s="210" t="s">
        <v>216</v>
      </c>
      <c r="BB5" s="210" t="s">
        <v>216</v>
      </c>
      <c r="BC5" s="210" t="s">
        <v>216</v>
      </c>
      <c r="BD5" s="210" t="s">
        <v>216</v>
      </c>
      <c r="BE5" s="210" t="s">
        <v>216</v>
      </c>
    </row>
    <row r="6" spans="2:57" x14ac:dyDescent="0.2">
      <c r="B6" s="203">
        <v>0.25</v>
      </c>
      <c r="C6" s="203" t="s">
        <v>105</v>
      </c>
      <c r="D6" s="203"/>
      <c r="E6" s="203"/>
      <c r="F6" s="203"/>
      <c r="G6" s="203" t="s">
        <v>89</v>
      </c>
      <c r="H6" s="205" t="s">
        <v>102</v>
      </c>
      <c r="I6" s="210" t="s">
        <v>216</v>
      </c>
      <c r="J6" s="210" t="s">
        <v>216</v>
      </c>
      <c r="K6" s="210" t="s">
        <v>216</v>
      </c>
      <c r="L6" s="210" t="s">
        <v>216</v>
      </c>
      <c r="M6" s="210" t="s">
        <v>216</v>
      </c>
      <c r="N6" s="210" t="str">
        <f t="array" ref="N6">IFERROR(
 INDEX(
  SCHEDULE!$A$1:$A$76,
   SMALL(
   IF(
    (ISNUMBER(SEARCH("█",SCHEDULE!K$1:K$76)))*
   ( (SCHEDULE!J$1:J$76=$B6)+(SCHEDULE!J$1:J$76=$C6)+(SCHEDULE!J$1:J$76=$D6)+(SCHEDULE!J$1:J$76=$E6)+(SCHEDULE!J$1:J$76=$F6)+ (SCHEDULE!L$1:L$76=$G6) ),
     ROW(SCHEDULE!AS$1:AS$76),
     ""
    ),COUNTIF($H$1:$H6,$H6)
  )
 ),"
Missing")</f>
        <v xml:space="preserve">
Missing</v>
      </c>
      <c r="O6" s="210" t="str">
        <f t="array" ref="O6">IFERROR(
 INDEX(
  SCHEDULE!$A$1:$A$76,
   SMALL(
   IF(
    (ISNUMBER(SEARCH("█",SCHEDULE!L$1:L$76)))*
   ( (SCHEDULE!K$1:K$76=$B6)+(SCHEDULE!K$1:K$76=$C6)+(SCHEDULE!K$1:K$76=$D6)+(SCHEDULE!K$1:K$76=$E6)+(SCHEDULE!K$1:K$76=$F6)+ (SCHEDULE!M$1:M$76=$G6) ),
     ROW(SCHEDULE!AT$1:AT$76),
     ""
    ),COUNTIF($H$1:$H6,$H6)
  )
 ),"
Missing")</f>
        <v xml:space="preserve">
Missing</v>
      </c>
      <c r="P6" s="210" t="str">
        <f t="array" ref="P6">IFERROR(
 INDEX(
  SCHEDULE!$A$1:$A$76,
   SMALL(
   IF(
    (ISNUMBER(SEARCH("█",SCHEDULE!M$1:M$76)))*
   ( (SCHEDULE!L$1:L$76=$B6)+(SCHEDULE!L$1:L$76=$C6)+(SCHEDULE!L$1:L$76=$D6)+(SCHEDULE!L$1:L$76=$E6)+(SCHEDULE!L$1:L$76=$F6)+ (SCHEDULE!N$1:N$76=$G6) ),
     ROW(SCHEDULE!AU$1:AU$76),
     ""
    ),COUNTIF($H$1:$H6,$H6)
  )
 ),"
Missing")</f>
        <v>Westly Smyth</v>
      </c>
      <c r="Q6" s="210" t="str">
        <f t="array" ref="Q6">IFERROR(
 INDEX(
  SCHEDULE!$A$1:$A$76,
   SMALL(
   IF(
    (ISNUMBER(SEARCH("█",SCHEDULE!N$1:N$76)))*
   ( (SCHEDULE!M$1:M$76=$B6)+(SCHEDULE!M$1:M$76=$C6)+(SCHEDULE!M$1:M$76=$D6)+(SCHEDULE!M$1:M$76=$E6)+(SCHEDULE!M$1:M$76=$F6)+ (SCHEDULE!O$1:O$76=$G6) ),
     ROW(SCHEDULE!AV$1:AV$76),
     ""
    ),COUNTIF($H$1:$H6,$H6)
  )
 ),"
Missing")</f>
        <v xml:space="preserve">
Missing</v>
      </c>
      <c r="R6" s="210" t="str">
        <f t="array" ref="R6">IFERROR(
 INDEX(
  SCHEDULE!$A$1:$A$76,
   SMALL(
   IF(
    (ISNUMBER(SEARCH("█",SCHEDULE!O$1:O$76)))*
   ( (SCHEDULE!N$1:N$76=$B6)+(SCHEDULE!N$1:N$76=$C6)+(SCHEDULE!N$1:N$76=$D6)+(SCHEDULE!N$1:N$76=$E6)+(SCHEDULE!N$1:N$76=$F6)+ (SCHEDULE!P$1:P$76=$G6) ),
     ROW(SCHEDULE!AW$1:AW$76),
     ""
    ),COUNTIF($H$1:$H6,$H6)
  )
 ),"
Missing")</f>
        <v xml:space="preserve">
Missing</v>
      </c>
      <c r="S6" s="210" t="str">
        <f t="array" ref="S6">IFERROR(
 INDEX(
  SCHEDULE!$A$1:$A$76,
   SMALL(
   IF(
    (ISNUMBER(SEARCH("█",SCHEDULE!P$1:P$76)))*
   ( (SCHEDULE!O$1:O$76=$B6)+(SCHEDULE!O$1:O$76=$C6)+(SCHEDULE!O$1:O$76=$D6)+(SCHEDULE!O$1:O$76=$E6)+(SCHEDULE!O$1:O$76=$F6)+ (SCHEDULE!Q$1:Q$76=$G6) ),
     ROW(SCHEDULE!AX$1:AX$76),
     ""
    ),COUNTIF($H$1:$H6,$H6)
  )
 ),"
Missing")</f>
        <v>Westly Smyth</v>
      </c>
      <c r="T6" s="210" t="str">
        <f t="array" ref="T6">IFERROR(
 INDEX(
  SCHEDULE!$A$1:$A$76,
   SMALL(
   IF(
    (ISNUMBER(SEARCH("█",SCHEDULE!Q$1:Q$76)))*
   ( (SCHEDULE!P$1:P$76=$B6)+(SCHEDULE!P$1:P$76=$C6)+(SCHEDULE!P$1:P$76=$D6)+(SCHEDULE!P$1:P$76=$E6)+(SCHEDULE!P$1:P$76=$F6)+ (SCHEDULE!R$1:R$76=$G6) ),
     ROW(SCHEDULE!AY$1:AY$76),
     ""
    ),COUNTIF($H$1:$H6,$H6)
  )
 ),"
Missing")</f>
        <v xml:space="preserve">
Missing</v>
      </c>
      <c r="U6" s="210" t="str">
        <f t="array" ref="U6">IFERROR(
 INDEX(
  SCHEDULE!$A$1:$A$76,
   SMALL(
   IF(
    (ISNUMBER(SEARCH("█",SCHEDULE!R$1:R$76)))*
   ( (SCHEDULE!Q$1:Q$76=$B6)+(SCHEDULE!Q$1:Q$76=$C6)+(SCHEDULE!Q$1:Q$76=$D6)+(SCHEDULE!Q$1:Q$76=$E6)+(SCHEDULE!Q$1:Q$76=$F6)+ (SCHEDULE!S$1:S$76=$G6) ),
     ROW(SCHEDULE!AZ$1:AZ$76),
     ""
    ),COUNTIF($H$1:$H6,$H6)
  )
 ),"
Missing")</f>
        <v xml:space="preserve">
Missing</v>
      </c>
      <c r="V6" s="210" t="str">
        <f t="array" ref="V6">IFERROR(
 INDEX(
  SCHEDULE!$A$1:$A$76,
   SMALL(
   IF(
    (ISNUMBER(SEARCH("█",SCHEDULE!S$1:S$76)))*
   ( (SCHEDULE!R$1:R$76=$B6)+(SCHEDULE!R$1:R$76=$C6)+(SCHEDULE!R$1:R$76=$D6)+(SCHEDULE!R$1:R$76=$E6)+(SCHEDULE!R$1:R$76=$F6)+ (SCHEDULE!T$1:T$76=$G6) ),
     ROW(SCHEDULE!BA$1:BA$76),
     ""
    ),COUNTIF($H$1:$H6,$H6)
  )
 ),"
Missing")</f>
        <v>Westly Smyth</v>
      </c>
      <c r="W6" s="210" t="str">
        <f t="array" ref="W6">IFERROR(
 INDEX(
  SCHEDULE!$A$1:$A$76,
   SMALL(
   IF(
    (ISNUMBER(SEARCH("█",SCHEDULE!T$1:T$76)))*
   ( (SCHEDULE!S$1:S$76=$B6)+(SCHEDULE!S$1:S$76=$C6)+(SCHEDULE!S$1:S$76=$D6)+(SCHEDULE!S$1:S$76=$E6)+(SCHEDULE!S$1:S$76=$F6)+ (SCHEDULE!U$1:U$76=$G6) ),
     ROW(SCHEDULE!BB$1:BB$76),
     ""
    ),COUNTIF($H$1:$H6,$H6)
  )
 ),"
Missing")</f>
        <v xml:space="preserve">
Missing</v>
      </c>
      <c r="X6" s="210" t="str">
        <f t="array" ref="X6">IFERROR(
 INDEX(
  SCHEDULE!$A$1:$A$76,
   SMALL(
   IF(
    (ISNUMBER(SEARCH("█",SCHEDULE!U$1:U$76)))*
   ( (SCHEDULE!T$1:T$76=$B6)+(SCHEDULE!T$1:T$76=$C6)+(SCHEDULE!T$1:T$76=$D6)+(SCHEDULE!T$1:T$76=$E6)+(SCHEDULE!T$1:T$76=$F6)+ (SCHEDULE!V$1:V$76=$G6) ),
     ROW(SCHEDULE!BC$1:BC$76),
     ""
    ),COUNTIF($H$1:$H6,$H6)
  )
 ),"
Missing")</f>
        <v xml:space="preserve">
Missing</v>
      </c>
      <c r="Y6" s="210" t="str">
        <f t="array" ref="Y6">IFERROR(
 INDEX(
  SCHEDULE!$A$1:$A$76,
   SMALL(
   IF(
    (ISNUMBER(SEARCH("█",SCHEDULE!V$1:V$76)))*
   ( (SCHEDULE!U$1:U$76=$B6)+(SCHEDULE!U$1:U$76=$C6)+(SCHEDULE!U$1:U$76=$D6)+(SCHEDULE!U$1:U$76=$E6)+(SCHEDULE!U$1:U$76=$F6)+ (SCHEDULE!W$1:W$76=$G6) ),
     ROW(SCHEDULE!BD$1:BD$76),
     ""
    ),COUNTIF($H$1:$H6,$H6)
  )
 ),"
Missing")</f>
        <v>Westly Smyth</v>
      </c>
      <c r="Z6" s="210" t="str">
        <f t="array" ref="Z6">IFERROR(
 INDEX(
  SCHEDULE!$A$1:$A$76,
   SMALL(
   IF(
    (ISNUMBER(SEARCH("█",SCHEDULE!W$1:W$76)))*
   ( (SCHEDULE!V$1:V$76=$B6)+(SCHEDULE!V$1:V$76=$C6)+(SCHEDULE!V$1:V$76=$D6)+(SCHEDULE!V$1:V$76=$E6)+(SCHEDULE!V$1:V$76=$F6)+ (SCHEDULE!X$1:X$76=$G6) ),
     ROW(SCHEDULE!BE$1:BE$76),
     ""
    ),COUNTIF($H$1:$H6,$H6)
  )
 ),"
Missing")</f>
        <v xml:space="preserve">
Missing</v>
      </c>
      <c r="AA6" s="210" t="str">
        <f t="array" ref="AA6">IFERROR(
 INDEX(
  SCHEDULE!$A$1:$A$76,
   SMALL(
   IF(
    (ISNUMBER(SEARCH("█",SCHEDULE!X$1:X$76)))*
   ( (SCHEDULE!W$1:W$76=$B6)+(SCHEDULE!W$1:W$76=$C6)+(SCHEDULE!W$1:W$76=$D6)+(SCHEDULE!W$1:W$76=$E6)+(SCHEDULE!W$1:W$76=$F6)+ (SCHEDULE!Y$1:Y$76=$G6) ),
     ROW(SCHEDULE!BF$1:BF$76),
     ""
    ),COUNTIF($H$1:$H6,$H6)
  )
 ),"
Missing")</f>
        <v xml:space="preserve">
Missing</v>
      </c>
      <c r="AB6" s="210" t="str">
        <f t="array" ref="AB6">IFERROR(
 INDEX(
  SCHEDULE!$A$1:$A$76,
   SMALL(
   IF(
    (ISNUMBER(SEARCH("█",SCHEDULE!Y$1:Y$76)))*
   ( (SCHEDULE!X$1:X$76=$B6)+(SCHEDULE!X$1:X$76=$C6)+(SCHEDULE!X$1:X$76=$D6)+(SCHEDULE!X$1:X$76=$E6)+(SCHEDULE!X$1:X$76=$F6)+ (SCHEDULE!Z$1:Z$76=$G6) ),
     ROW(SCHEDULE!BG$1:BG$76),
     ""
    ),COUNTIF($H$1:$H6,$H6)
  )
 ),"
Missing")</f>
        <v>Westly Smyth</v>
      </c>
      <c r="AC6" s="210" t="str">
        <f t="array" ref="AC6">IFERROR(
 INDEX(
  SCHEDULE!$A$1:$A$76,
   SMALL(
   IF(
    (ISNUMBER(SEARCH("█",SCHEDULE!Z$1:Z$76)))*
   ( (SCHEDULE!Y$1:Y$76=$B6)+(SCHEDULE!Y$1:Y$76=$C6)+(SCHEDULE!Y$1:Y$76=$D6)+(SCHEDULE!Y$1:Y$76=$E6)+(SCHEDULE!Y$1:Y$76=$F6)+ (SCHEDULE!AA$1:AA$76=$G6) ),
     ROW(SCHEDULE!BH$1:BH$76),
     ""
    ),COUNTIF($H$1:$H6,$H6)
  )
 ),"
Missing")</f>
        <v xml:space="preserve">
Missing</v>
      </c>
      <c r="AD6" s="210" t="str">
        <f t="array" ref="AD6">IFERROR(
 INDEX(
  SCHEDULE!$A$1:$A$76,
   SMALL(
   IF(
    (ISNUMBER(SEARCH("█",SCHEDULE!AA$1:AA$76)))*
   ( (SCHEDULE!Z$1:Z$76=$B6)+(SCHEDULE!Z$1:Z$76=$C6)+(SCHEDULE!Z$1:Z$76=$D6)+(SCHEDULE!Z$1:Z$76=$E6)+(SCHEDULE!Z$1:Z$76=$F6)+ (SCHEDULE!AB$1:AB$76=$G6) ),
     ROW(SCHEDULE!BI$1:BI$76),
     ""
    ),COUNTIF($H$1:$H6,$H6)
  )
 ),"
Missing")</f>
        <v xml:space="preserve">
Missing</v>
      </c>
      <c r="AE6" s="210" t="s">
        <v>216</v>
      </c>
      <c r="AF6" s="210" t="s">
        <v>216</v>
      </c>
      <c r="AG6" s="210" t="s">
        <v>216</v>
      </c>
      <c r="AH6" s="210" t="s">
        <v>216</v>
      </c>
      <c r="AI6" s="210" t="s">
        <v>216</v>
      </c>
      <c r="AJ6" s="210" t="str">
        <f t="array" ref="AJ6">IFERROR(
 INDEX(
  SCHEDULE!$A$1:$A$76,
   SMALL(
   IF(
    (ISNUMBER(SEARCH("█",SCHEDULE!AG$1:AG$76)))*
   ( (SCHEDULE!AF$1:AF$76=$B6)+(SCHEDULE!AF$1:AF$76=$C6)+(SCHEDULE!AF$1:AF$76=$D6)+(SCHEDULE!AF$1:AF$76=$E6)+(SCHEDULE!AF$1:AF$76=$F6)+ (SCHEDULE!AH$1:AH$76=$G6) ),
     ROW(SCHEDULE!BO$1:BO$76),
     ""
    ),COUNTIF($H$1:$H6,$H6)
  )
 ),"
Missing")</f>
        <v xml:space="preserve">
Missing</v>
      </c>
      <c r="AK6" s="210" t="str">
        <f t="array" ref="AK6">IFERROR(
 INDEX(
  SCHEDULE!$A$1:$A$76,
   SMALL(
   IF(
    (ISNUMBER(SEARCH("█",SCHEDULE!AH$1:AH$76)))*
   ( (SCHEDULE!AG$1:AG$76=$B6)+(SCHEDULE!AG$1:AG$76=$C6)+(SCHEDULE!AG$1:AG$76=$D6)+(SCHEDULE!AG$1:AG$76=$E6)+(SCHEDULE!AG$1:AG$76=$F6)+ (SCHEDULE!AI$1:AI$76=$G6) ),
     ROW(SCHEDULE!BP$1:BP$76),
     ""
    ),COUNTIF($H$1:$H6,$H6)
  )
 ),"
Missing")</f>
        <v xml:space="preserve">
Missing</v>
      </c>
      <c r="AL6" s="210" t="str">
        <f t="array" ref="AL6">IFERROR(
 INDEX(
  SCHEDULE!$A$1:$A$76,
   SMALL(
   IF(
    (ISNUMBER(SEARCH("█",SCHEDULE!AI$1:AI$76)))*
   ( (SCHEDULE!AH$1:AH$76=$B6)+(SCHEDULE!AH$1:AH$76=$C6)+(SCHEDULE!AH$1:AH$76=$D6)+(SCHEDULE!AH$1:AH$76=$E6)+(SCHEDULE!AH$1:AH$76=$F6)+ (SCHEDULE!AJ$1:AJ$76=$G6) ),
     ROW(SCHEDULE!BQ$1:BQ$76),
     ""
    ),COUNTIF($H$1:$H6,$H6)
  )
 ),"
Missing")</f>
        <v>Westly Smyth</v>
      </c>
      <c r="AM6" s="210" t="str">
        <f t="array" ref="AM6">IFERROR(
 INDEX(
  SCHEDULE!$A$1:$A$76,
   SMALL(
   IF(
    (ISNUMBER(SEARCH("█",SCHEDULE!AJ$1:AJ$76)))*
   ( (SCHEDULE!AI$1:AI$76=$B6)+(SCHEDULE!AI$1:AI$76=$C6)+(SCHEDULE!AI$1:AI$76=$D6)+(SCHEDULE!AI$1:AI$76=$E6)+(SCHEDULE!AI$1:AI$76=$F6)+ (SCHEDULE!AK$1:AK$76=$G6) ),
     ROW(SCHEDULE!BR$1:BR$76),
     ""
    ),COUNTIF($H$1:$H6,$H6)
  )
 ),"
Missing")</f>
        <v xml:space="preserve">
Missing</v>
      </c>
      <c r="AN6" s="210" t="str">
        <f t="array" ref="AN6">IFERROR(
 INDEX(
  SCHEDULE!$A$1:$A$76,
   SMALL(
   IF(
    (ISNUMBER(SEARCH("█",SCHEDULE!AK$1:AK$76)))*
   ( (SCHEDULE!AJ$1:AJ$76=$B6)+(SCHEDULE!AJ$1:AJ$76=$C6)+(SCHEDULE!AJ$1:AJ$76=$D6)+(SCHEDULE!AJ$1:AJ$76=$E6)+(SCHEDULE!AJ$1:AJ$76=$F6)+ (SCHEDULE!AL$1:AL$76=$G6) ),
     ROW(SCHEDULE!BS$1:BS$76),
     ""
    ),COUNTIF($H$1:$H6,$H6)
  )
 ),"
Missing")</f>
        <v xml:space="preserve">
Missing</v>
      </c>
      <c r="AO6" s="210" t="str">
        <f t="array" ref="AO6">IFERROR(
 INDEX(
  SCHEDULE!$A$1:$A$76,
   SMALL(
   IF(
    (ISNUMBER(SEARCH("█",SCHEDULE!AL$1:AL$76)))*
   ( (SCHEDULE!AK$1:AK$76=$B6)+(SCHEDULE!AK$1:AK$76=$C6)+(SCHEDULE!AK$1:AK$76=$D6)+(SCHEDULE!AK$1:AK$76=$E6)+(SCHEDULE!AK$1:AK$76=$F6)+ (SCHEDULE!AM$1:AM$76=$G6) ),
     ROW(SCHEDULE!BT$1:BT$76),
     ""
    ),COUNTIF($H$1:$H6,$H6)
  )
 ),"
Missing")</f>
        <v>Westly Smyth</v>
      </c>
      <c r="AP6" s="210" t="str">
        <f t="array" ref="AP6">IFERROR(
 INDEX(
  SCHEDULE!$A$1:$A$76,
   SMALL(
   IF(
    (ISNUMBER(SEARCH("█",SCHEDULE!AM$1:AM$76)))*
   ( (SCHEDULE!AL$1:AL$76=$B6)+(SCHEDULE!AL$1:AL$76=$C6)+(SCHEDULE!AL$1:AL$76=$D6)+(SCHEDULE!AL$1:AL$76=$E6)+(SCHEDULE!AL$1:AL$76=$F6)+ (SCHEDULE!AN$1:AN$76=$G6) ),
     ROW(SCHEDULE!BU$1:BU$76),
     ""
    ),COUNTIF($H$1:$H6,$H6)
  )
 ),"
Missing")</f>
        <v xml:space="preserve">
Missing</v>
      </c>
      <c r="AQ6" s="210" t="str">
        <f t="array" ref="AQ6">IFERROR(
 INDEX(
  SCHEDULE!$A$1:$A$76,
   SMALL(
   IF(
    (ISNUMBER(SEARCH("█",SCHEDULE!AN$1:AN$76)))*
   ( (SCHEDULE!AM$1:AM$76=$B6)+(SCHEDULE!AM$1:AM$76=$C6)+(SCHEDULE!AM$1:AM$76=$D6)+(SCHEDULE!AM$1:AM$76=$E6)+(SCHEDULE!AM$1:AM$76=$F6)+ (SCHEDULE!AO$1:AO$76=$G6) ),
     ROW(SCHEDULE!BV$1:BV$76),
     ""
    ),COUNTIF($H$1:$H6,$H6)
  )
 ),"
Missing")</f>
        <v xml:space="preserve">
Missing</v>
      </c>
      <c r="AR6" s="210" t="str">
        <f t="array" ref="AR6">IFERROR(
 INDEX(
  SCHEDULE!$A$1:$A$76,
   SMALL(
   IF(
    (ISNUMBER(SEARCH("█",SCHEDULE!AO$1:AO$76)))*
   ( (SCHEDULE!AN$1:AN$76=$B6)+(SCHEDULE!AN$1:AN$76=$C6)+(SCHEDULE!AN$1:AN$76=$D6)+(SCHEDULE!AN$1:AN$76=$E6)+(SCHEDULE!AN$1:AN$76=$F6)+ (SCHEDULE!AP$1:AP$76=$G6) ),
     ROW(SCHEDULE!BW$1:BW$76),
     ""
    ),COUNTIF($H$1:$H6,$H6)
  )
 ),"
Missing")</f>
        <v>Westly Smyth</v>
      </c>
      <c r="AS6" s="210" t="str">
        <f t="array" ref="AS6">IFERROR(
 INDEX(
  SCHEDULE!$A$1:$A$76,
   SMALL(
   IF(
    (ISNUMBER(SEARCH("█",SCHEDULE!AP$1:AP$76)))*
   ( (SCHEDULE!AO$1:AO$76=$B6)+(SCHEDULE!AO$1:AO$76=$C6)+(SCHEDULE!AO$1:AO$76=$D6)+(SCHEDULE!AO$1:AO$76=$E6)+(SCHEDULE!AO$1:AO$76=$F6)+ (SCHEDULE!AQ$1:AQ$76=$G6) ),
     ROW(SCHEDULE!BX$1:BX$76),
     ""
    ),COUNTIF($H$1:$H6,$H6)
  )
 ),"
Missing")</f>
        <v xml:space="preserve">
Missing</v>
      </c>
      <c r="AT6" s="210" t="str">
        <f t="array" ref="AT6">IFERROR(
 INDEX(
  SCHEDULE!$A$1:$A$76,
   SMALL(
   IF(
    (ISNUMBER(SEARCH("█",SCHEDULE!AQ$1:AQ$76)))*
   ( (SCHEDULE!AP$1:AP$76=$B6)+(SCHEDULE!AP$1:AP$76=$C6)+(SCHEDULE!AP$1:AP$76=$D6)+(SCHEDULE!AP$1:AP$76=$E6)+(SCHEDULE!AP$1:AP$76=$F6)+ (SCHEDULE!AR$1:AR$76=$G6) ),
     ROW(SCHEDULE!BY$1:BY$76),
     ""
    ),COUNTIF($H$1:$H6,$H6)
  )
 ),"
Missing")</f>
        <v xml:space="preserve">
Missing</v>
      </c>
      <c r="AU6" s="210" t="str">
        <f t="array" ref="AU6">IFERROR(
 INDEX(
  SCHEDULE!$A$1:$A$76,
   SMALL(
   IF(
    (ISNUMBER(SEARCH("█",SCHEDULE!AR$1:AR$76)))*
   ( (SCHEDULE!AQ$1:AQ$76=$B6)+(SCHEDULE!AQ$1:AQ$76=$C6)+(SCHEDULE!AQ$1:AQ$76=$D6)+(SCHEDULE!AQ$1:AQ$76=$E6)+(SCHEDULE!AQ$1:AQ$76=$F6)+ (SCHEDULE!AS$1:AS$76=$G6) ),
     ROW(SCHEDULE!BZ$1:BZ$76),
     ""
    ),COUNTIF($H$1:$H6,$H6)
  )
 ),"
Missing")</f>
        <v>Nickolai Mullen</v>
      </c>
      <c r="AV6" s="210" t="str">
        <f t="array" ref="AV6">IFERROR(
 INDEX(
  SCHEDULE!$A$1:$A$76,
   SMALL(
   IF(
    (ISNUMBER(SEARCH("█",SCHEDULE!AS$1:AS$76)))*
   ( (SCHEDULE!AR$1:AR$76=$B6)+(SCHEDULE!AR$1:AR$76=$C6)+(SCHEDULE!AR$1:AR$76=$D6)+(SCHEDULE!AR$1:AR$76=$E6)+(SCHEDULE!AR$1:AR$76=$F6)+ (SCHEDULE!AT$1:AT$76=$G6) ),
     ROW(SCHEDULE!CA$1:CA$76),
     ""
    ),COUNTIF($H$1:$H6,$H6)
  )
 ),"
Missing")</f>
        <v xml:space="preserve">
Missing</v>
      </c>
      <c r="AW6" s="210" t="str">
        <f t="array" ref="AW6">IFERROR(
 INDEX(
  SCHEDULE!$A$1:$A$76,
   SMALL(
   IF(
    (ISNUMBER(SEARCH("█",SCHEDULE!AT$1:AT$76)))*
   ( (SCHEDULE!AS$1:AS$76=$B6)+(SCHEDULE!AS$1:AS$76=$C6)+(SCHEDULE!AS$1:AS$76=$D6)+(SCHEDULE!AS$1:AS$76=$E6)+(SCHEDULE!AS$1:AS$76=$F6)+ (SCHEDULE!AU$1:AU$76=$G6) ),
     ROW(SCHEDULE!CB$1:CB$76),
     ""
    ),COUNTIF($H$1:$H6,$H6)
  )
 ),"
Missing")</f>
        <v xml:space="preserve">
Missing</v>
      </c>
      <c r="AX6" s="210" t="str">
        <f t="array" ref="AX6">IFERROR(
 INDEX(
  SCHEDULE!$A$1:$A$76,
   SMALL(
   IF(
    (ISNUMBER(SEARCH("█",SCHEDULE!AU$1:AU$76)))*
   ( (SCHEDULE!AT$1:AT$76=$B6)+(SCHEDULE!AT$1:AT$76=$C6)+(SCHEDULE!AT$1:AT$76=$D6)+(SCHEDULE!AT$1:AT$76=$E6)+(SCHEDULE!AT$1:AT$76=$F6)+ (SCHEDULE!AV$1:AV$76=$G6) ),
     ROW(SCHEDULE!CC$1:CC$76),
     ""
    ),COUNTIF($H$1:$H6,$H6)
  )
 ),"
Missing")</f>
        <v xml:space="preserve">
Missing</v>
      </c>
      <c r="AY6" s="210" t="str">
        <f t="array" ref="AY6">IFERROR(
 INDEX(
  SCHEDULE!$A$1:$A$76,
   SMALL(
   IF(
    (ISNUMBER(SEARCH("█",SCHEDULE!AV$1:AV$76)))*
   ( (SCHEDULE!AU$1:AU$76=$B6)+(SCHEDULE!AU$1:AU$76=$C6)+(SCHEDULE!AU$1:AU$76=$D6)+(SCHEDULE!AU$1:AU$76=$E6)+(SCHEDULE!AU$1:AU$76=$F6)+ (SCHEDULE!AW$1:AW$76=$G6) ),
     ROW(SCHEDULE!CD$1:CD$76),
     ""
    ),COUNTIF($H$1:$H6,$H6)
  )
 ),"
Missing")</f>
        <v xml:space="preserve">
Missing</v>
      </c>
      <c r="AZ6" s="210" t="str">
        <f t="array" ref="AZ6">IFERROR(
 INDEX(
  SCHEDULE!$A$1:$A$76,
   SMALL(
   IF(
    (ISNUMBER(SEARCH("█",SCHEDULE!AW$1:AW$76)))*
   ( (SCHEDULE!AV$1:AV$76=$B6)+(SCHEDULE!AV$1:AV$76=$C6)+(SCHEDULE!AV$1:AV$76=$D6)+(SCHEDULE!AV$1:AV$76=$E6)+(SCHEDULE!AV$1:AV$76=$F6)+ (SCHEDULE!AX$1:AX$76=$G6) ),
     ROW(SCHEDULE!CE$1:CE$76),
     ""
    ),COUNTIF($H$1:$H6,$H6)
  )
 ),"
Missing")</f>
        <v xml:space="preserve">
Missing</v>
      </c>
      <c r="BA6" s="210" t="s">
        <v>216</v>
      </c>
      <c r="BB6" s="210" t="s">
        <v>216</v>
      </c>
      <c r="BC6" s="210" t="s">
        <v>216</v>
      </c>
      <c r="BD6" s="210" t="s">
        <v>216</v>
      </c>
      <c r="BE6" s="210" t="s">
        <v>216</v>
      </c>
    </row>
    <row r="7" spans="2:57" s="208" customFormat="1" x14ac:dyDescent="0.2">
      <c r="B7" s="206">
        <v>0.58333333333333337</v>
      </c>
      <c r="C7" s="206" t="s">
        <v>89</v>
      </c>
      <c r="D7" s="206">
        <v>0.5</v>
      </c>
      <c r="E7" s="206">
        <v>0.54166666666666663</v>
      </c>
      <c r="F7" s="206">
        <v>0.70833333333333337</v>
      </c>
      <c r="G7" s="206" t="s">
        <v>86</v>
      </c>
      <c r="H7" s="207" t="s">
        <v>104</v>
      </c>
      <c r="I7" s="210" t="str">
        <f t="array" ref="I7">IFERROR(
 INDEX(
  SCHEDULE!$A$1:$A$76,
   SMALL(
   IF(
    (ISNUMBER(SEARCH("█",SCHEDULE!F$1:F$76)))*
   ( (SCHEDULE!E$1:E$76=$B7)+(SCHEDULE!E$1:E$76=$C7)+(SCHEDULE!E$1:E$76=$D7)+(SCHEDULE!E$1:E$76=$E7)+(SCHEDULE!E$1:E$76=$F7)+ (SCHEDULE!G$1:G$76=$G7) ),
     ROW(SCHEDULE!AN$1:AN$76),
     ""
    ),COUNTIF($H$1:$H7,$H7)
  )
 ),"
Missing")</f>
        <v>Ed Baron</v>
      </c>
      <c r="J7" s="210" t="str">
        <f t="array" ref="J7">IFERROR(
 INDEX(
  SCHEDULE!$A$1:$A$76,
   SMALL(
   IF(
    (ISNUMBER(SEARCH("█",SCHEDULE!G$1:G$76)))*
   ( (SCHEDULE!F$1:F$76=$B7)+(SCHEDULE!F$1:F$76=$C7)+(SCHEDULE!F$1:F$76=$D7)+(SCHEDULE!F$1:F$76=$E7)+(SCHEDULE!F$1:F$76=$F7)+ (SCHEDULE!H$1:H$76=$G7) ),
     ROW(SCHEDULE!AO$1:AO$76),
     ""
    ),COUNTIF($H$1:$H7,$H7)
  )
 ),"
Missing")</f>
        <v xml:space="preserve">
Missing</v>
      </c>
      <c r="K7" s="210" t="str">
        <f t="array" ref="K7">IFERROR(
 INDEX(
  SCHEDULE!$A$1:$A$76,
   SMALL(
   IF(
    (ISNUMBER(SEARCH("█",SCHEDULE!H$1:H$76)))*
   ( (SCHEDULE!G$1:G$76=$B7)+(SCHEDULE!G$1:G$76=$C7)+(SCHEDULE!G$1:G$76=$D7)+(SCHEDULE!G$1:G$76=$E7)+(SCHEDULE!G$1:G$76=$F7)+ (SCHEDULE!I$1:I$76=$G7) ),
     ROW(SCHEDULE!AP$1:AP$76),
     ""
    ),COUNTIF($H$1:$H7,$H7)
  )
 ),"
Missing")</f>
        <v xml:space="preserve">
Missing</v>
      </c>
      <c r="L7" s="210" t="str">
        <f t="array" ref="L7">IFERROR(
 INDEX(
  SCHEDULE!$A$1:$A$76,
   SMALL(
   IF(
    (ISNUMBER(SEARCH("█",SCHEDULE!I$1:I$76)))*
   ( (SCHEDULE!H$1:H$76=$B7)+(SCHEDULE!H$1:H$76=$C7)+(SCHEDULE!H$1:H$76=$D7)+(SCHEDULE!H$1:H$76=$E7)+(SCHEDULE!H$1:H$76=$F7)+ (SCHEDULE!J$1:J$76=$G7) ),
     ROW(SCHEDULE!AQ$1:AQ$76),
     ""
    ),COUNTIF($H$1:$H7,$H7)
  )
 ),"
Missing")</f>
        <v xml:space="preserve">
Missing</v>
      </c>
      <c r="M7" s="210" t="str">
        <f t="array" ref="M7">IFERROR(
 INDEX(
  SCHEDULE!$A$1:$A$76,
   SMALL(
   IF(
    (ISNUMBER(SEARCH("█",SCHEDULE!J$1:J$76)))*
   ( (SCHEDULE!I$1:I$76=$B7)+(SCHEDULE!I$1:I$76=$C7)+(SCHEDULE!I$1:I$76=$D7)+(SCHEDULE!I$1:I$76=$E7)+(SCHEDULE!I$1:I$76=$F7)+ (SCHEDULE!K$1:K$76=$G7) ),
     ROW(SCHEDULE!AR$1:AR$76),
     ""
    ),COUNTIF($H$1:$H7,$H7)
  )
 ),"
Missing")</f>
        <v>Challis Gatten</v>
      </c>
      <c r="N7" s="210" t="str">
        <f t="array" ref="N7">IFERROR(
 INDEX(
  SCHEDULE!$A$1:$A$76,
   SMALL(
   IF(
    (ISNUMBER(SEARCH("█",SCHEDULE!K$1:K$76)))*
   ( (SCHEDULE!J$1:J$76=$B7)+(SCHEDULE!J$1:J$76=$C7)+(SCHEDULE!J$1:J$76=$D7)+(SCHEDULE!J$1:J$76=$E7)+(SCHEDULE!J$1:J$76=$F7)+ (SCHEDULE!L$1:L$76=$G7) ),
     ROW(SCHEDULE!AS$1:AS$76),
     ""
    ),COUNTIF($H$1:$H7,$H7)
  )
 ),"
Missing")</f>
        <v xml:space="preserve">
Missing</v>
      </c>
      <c r="O7" s="210" t="str">
        <f t="array" ref="O7">IFERROR(
 INDEX(
  SCHEDULE!$A$1:$A$76,
   SMALL(
   IF(
    (ISNUMBER(SEARCH("█",SCHEDULE!L$1:L$76)))*
   ( (SCHEDULE!K$1:K$76=$B7)+(SCHEDULE!K$1:K$76=$C7)+(SCHEDULE!K$1:K$76=$D7)+(SCHEDULE!K$1:K$76=$E7)+(SCHEDULE!K$1:K$76=$F7)+ (SCHEDULE!M$1:M$76=$G7) ),
     ROW(SCHEDULE!AT$1:AT$76),
     ""
    ),COUNTIF($H$1:$H7,$H7)
  )
 ),"
Missing")</f>
        <v xml:space="preserve">
Missing</v>
      </c>
      <c r="P7" s="210" t="str">
        <f t="array" ref="P7">IFERROR(
 INDEX(
  SCHEDULE!$A$1:$A$76,
   SMALL(
   IF(
    (ISNUMBER(SEARCH("█",SCHEDULE!M$1:M$76)))*
   ( (SCHEDULE!L$1:L$76=$B7)+(SCHEDULE!L$1:L$76=$C7)+(SCHEDULE!L$1:L$76=$D7)+(SCHEDULE!L$1:L$76=$E7)+(SCHEDULE!L$1:L$76=$F7)+ (SCHEDULE!N$1:N$76=$G7) ),
     ROW(SCHEDULE!AU$1:AU$76),
     ""
    ),COUNTIF($H$1:$H7,$H7)
  )
 ),"
Missing")</f>
        <v>Challis Gatten</v>
      </c>
      <c r="Q7" s="210" t="str">
        <f t="array" ref="Q7">IFERROR(
 INDEX(
  SCHEDULE!$A$1:$A$76,
   SMALL(
   IF(
    (ISNUMBER(SEARCH("█",SCHEDULE!N$1:N$76)))*
   ( (SCHEDULE!M$1:M$76=$B7)+(SCHEDULE!M$1:M$76=$C7)+(SCHEDULE!M$1:M$76=$D7)+(SCHEDULE!M$1:M$76=$E7)+(SCHEDULE!M$1:M$76=$F7)+ (SCHEDULE!O$1:O$76=$G7) ),
     ROW(SCHEDULE!AV$1:AV$76),
     ""
    ),COUNTIF($H$1:$H7,$H7)
  )
 ),"
Missing")</f>
        <v xml:space="preserve">
Missing</v>
      </c>
      <c r="R7" s="210" t="str">
        <f t="array" ref="R7">IFERROR(
 INDEX(
  SCHEDULE!$A$1:$A$76,
   SMALL(
   IF(
    (ISNUMBER(SEARCH("█",SCHEDULE!O$1:O$76)))*
   ( (SCHEDULE!N$1:N$76=$B7)+(SCHEDULE!N$1:N$76=$C7)+(SCHEDULE!N$1:N$76=$D7)+(SCHEDULE!N$1:N$76=$E7)+(SCHEDULE!N$1:N$76=$F7)+ (SCHEDULE!P$1:P$76=$G7) ),
     ROW(SCHEDULE!AW$1:AW$76),
     ""
    ),COUNTIF($H$1:$H7,$H7)
  )
 ),"
Missing")</f>
        <v xml:space="preserve">
Missing</v>
      </c>
      <c r="S7" s="210" t="str">
        <f t="array" ref="S7">IFERROR(
 INDEX(
  SCHEDULE!$A$1:$A$76,
   SMALL(
   IF(
    (ISNUMBER(SEARCH("█",SCHEDULE!P$1:P$76)))*
   ( (SCHEDULE!O$1:O$76=$B7)+(SCHEDULE!O$1:O$76=$C7)+(SCHEDULE!O$1:O$76=$D7)+(SCHEDULE!O$1:O$76=$E7)+(SCHEDULE!O$1:O$76=$F7)+ (SCHEDULE!Q$1:Q$76=$G7) ),
     ROW(SCHEDULE!AX$1:AX$76),
     ""
    ),COUNTIF($H$1:$H7,$H7)
  )
 ),"
Missing")</f>
        <v>Challis Gatten</v>
      </c>
      <c r="T7" s="210" t="str">
        <f t="array" ref="T7">IFERROR(
 INDEX(
  SCHEDULE!$A$1:$A$76,
   SMALL(
   IF(
    (ISNUMBER(SEARCH("█",SCHEDULE!Q$1:Q$76)))*
   ( (SCHEDULE!P$1:P$76=$B7)+(SCHEDULE!P$1:P$76=$C7)+(SCHEDULE!P$1:P$76=$D7)+(SCHEDULE!P$1:P$76=$E7)+(SCHEDULE!P$1:P$76=$F7)+ (SCHEDULE!R$1:R$76=$G7) ),
     ROW(SCHEDULE!AY$1:AY$76),
     ""
    ),COUNTIF($H$1:$H7,$H7)
  )
 ),"
Missing")</f>
        <v xml:space="preserve">
Missing</v>
      </c>
      <c r="U7" s="210" t="str">
        <f t="array" ref="U7">IFERROR(
 INDEX(
  SCHEDULE!$A$1:$A$76,
   SMALL(
   IF(
    (ISNUMBER(SEARCH("█",SCHEDULE!R$1:R$76)))*
   ( (SCHEDULE!Q$1:Q$76=$B7)+(SCHEDULE!Q$1:Q$76=$C7)+(SCHEDULE!Q$1:Q$76=$D7)+(SCHEDULE!Q$1:Q$76=$E7)+(SCHEDULE!Q$1:Q$76=$F7)+ (SCHEDULE!S$1:S$76=$G7) ),
     ROW(SCHEDULE!AZ$1:AZ$76),
     ""
    ),COUNTIF($H$1:$H7,$H7)
  )
 ),"
Missing")</f>
        <v xml:space="preserve">
Missing</v>
      </c>
      <c r="V7" s="210" t="str">
        <f t="array" ref="V7">IFERROR(
 INDEX(
  SCHEDULE!$A$1:$A$76,
   SMALL(
   IF(
    (ISNUMBER(SEARCH("█",SCHEDULE!S$1:S$76)))*
   ( (SCHEDULE!R$1:R$76=$B7)+(SCHEDULE!R$1:R$76=$C7)+(SCHEDULE!R$1:R$76=$D7)+(SCHEDULE!R$1:R$76=$E7)+(SCHEDULE!R$1:R$76=$F7)+ (SCHEDULE!T$1:T$76=$G7) ),
     ROW(SCHEDULE!BA$1:BA$76),
     ""
    ),COUNTIF($H$1:$H7,$H7)
  )
 ),"
Missing")</f>
        <v>Chaise Dale</v>
      </c>
      <c r="W7" s="210" t="str">
        <f t="array" ref="W7">IFERROR(
 INDEX(
  SCHEDULE!$A$1:$A$76,
   SMALL(
   IF(
    (ISNUMBER(SEARCH("█",SCHEDULE!T$1:T$76)))*
   ( (SCHEDULE!S$1:S$76=$B7)+(SCHEDULE!S$1:S$76=$C7)+(SCHEDULE!S$1:S$76=$D7)+(SCHEDULE!S$1:S$76=$E7)+(SCHEDULE!S$1:S$76=$F7)+ (SCHEDULE!U$1:U$76=$G7) ),
     ROW(SCHEDULE!BB$1:BB$76),
     ""
    ),COUNTIF($H$1:$H7,$H7)
  )
 ),"
Missing")</f>
        <v xml:space="preserve">
Missing</v>
      </c>
      <c r="X7" s="210" t="str">
        <f t="array" ref="X7">IFERROR(
 INDEX(
  SCHEDULE!$A$1:$A$76,
   SMALL(
   IF(
    (ISNUMBER(SEARCH("█",SCHEDULE!U$1:U$76)))*
   ( (SCHEDULE!T$1:T$76=$B7)+(SCHEDULE!T$1:T$76=$C7)+(SCHEDULE!T$1:T$76=$D7)+(SCHEDULE!T$1:T$76=$E7)+(SCHEDULE!T$1:T$76=$F7)+ (SCHEDULE!V$1:V$76=$G7) ),
     ROW(SCHEDULE!BC$1:BC$76),
     ""
    ),COUNTIF($H$1:$H7,$H7)
  )
 ),"
Missing")</f>
        <v xml:space="preserve">
Missing</v>
      </c>
      <c r="Y7" s="210" t="str">
        <f t="array" ref="Y7">IFERROR(
 INDEX(
  SCHEDULE!$A$1:$A$76,
   SMALL(
   IF(
    (ISNUMBER(SEARCH("█",SCHEDULE!V$1:V$76)))*
   ( (SCHEDULE!U$1:U$76=$B7)+(SCHEDULE!U$1:U$76=$C7)+(SCHEDULE!U$1:U$76=$D7)+(SCHEDULE!U$1:U$76=$E7)+(SCHEDULE!U$1:U$76=$F7)+ (SCHEDULE!W$1:W$76=$G7) ),
     ROW(SCHEDULE!BD$1:BD$76),
     ""
    ),COUNTIF($H$1:$H7,$H7)
  )
 ),"
Missing")</f>
        <v>Chaise Dale</v>
      </c>
      <c r="Z7" s="210" t="str">
        <f t="array" ref="Z7">IFERROR(
 INDEX(
  SCHEDULE!$A$1:$A$76,
   SMALL(
   IF(
    (ISNUMBER(SEARCH("█",SCHEDULE!W$1:W$76)))*
   ( (SCHEDULE!V$1:V$76=$B7)+(SCHEDULE!V$1:V$76=$C7)+(SCHEDULE!V$1:V$76=$D7)+(SCHEDULE!V$1:V$76=$E7)+(SCHEDULE!V$1:V$76=$F7)+ (SCHEDULE!X$1:X$76=$G7) ),
     ROW(SCHEDULE!BE$1:BE$76),
     ""
    ),COUNTIF($H$1:$H7,$H7)
  )
 ),"
Missing")</f>
        <v xml:space="preserve">
Missing</v>
      </c>
      <c r="AA7" s="210" t="str">
        <f t="array" ref="AA7">IFERROR(
 INDEX(
  SCHEDULE!$A$1:$A$76,
   SMALL(
   IF(
    (ISNUMBER(SEARCH("█",SCHEDULE!X$1:X$76)))*
   ( (SCHEDULE!W$1:W$76=$B7)+(SCHEDULE!W$1:W$76=$C7)+(SCHEDULE!W$1:W$76=$D7)+(SCHEDULE!W$1:W$76=$E7)+(SCHEDULE!W$1:W$76=$F7)+ (SCHEDULE!Y$1:Y$76=$G7) ),
     ROW(SCHEDULE!BF$1:BF$76),
     ""
    ),COUNTIF($H$1:$H7,$H7)
  )
 ),"
Missing")</f>
        <v xml:space="preserve">
Missing</v>
      </c>
      <c r="AB7" s="210" t="str">
        <f t="array" ref="AB7">IFERROR(
 INDEX(
  SCHEDULE!$A$1:$A$76,
   SMALL(
   IF(
    (ISNUMBER(SEARCH("█",SCHEDULE!Y$1:Y$76)))*
   ( (SCHEDULE!X$1:X$76=$B7)+(SCHEDULE!X$1:X$76=$C7)+(SCHEDULE!X$1:X$76=$D7)+(SCHEDULE!X$1:X$76=$E7)+(SCHEDULE!X$1:X$76=$F7)+ (SCHEDULE!Z$1:Z$76=$G7) ),
     ROW(SCHEDULE!BG$1:BG$76),
     ""
    ),COUNTIF($H$1:$H7,$H7)
  )
 ),"
Missing")</f>
        <v>DJ Clements</v>
      </c>
      <c r="AC7" s="210" t="str">
        <f t="array" ref="AC7">IFERROR(
 INDEX(
  SCHEDULE!$A$1:$A$76,
   SMALL(
   IF(
    (ISNUMBER(SEARCH("█",SCHEDULE!Z$1:Z$76)))*
   ( (SCHEDULE!Y$1:Y$76=$B7)+(SCHEDULE!Y$1:Y$76=$C7)+(SCHEDULE!Y$1:Y$76=$D7)+(SCHEDULE!Y$1:Y$76=$E7)+(SCHEDULE!Y$1:Y$76=$F7)+ (SCHEDULE!AA$1:AA$76=$G7) ),
     ROW(SCHEDULE!BH$1:BH$76),
     ""
    ),COUNTIF($H$1:$H7,$H7)
  )
 ),"
Missing")</f>
        <v xml:space="preserve">
Missing</v>
      </c>
      <c r="AD7" s="210" t="str">
        <f t="array" ref="AD7">IFERROR(
 INDEX(
  SCHEDULE!$A$1:$A$76,
   SMALL(
   IF(
    (ISNUMBER(SEARCH("█",SCHEDULE!AA$1:AA$76)))*
   ( (SCHEDULE!Z$1:Z$76=$B7)+(SCHEDULE!Z$1:Z$76=$C7)+(SCHEDULE!Z$1:Z$76=$D7)+(SCHEDULE!Z$1:Z$76=$E7)+(SCHEDULE!Z$1:Z$76=$F7)+ (SCHEDULE!AB$1:AB$76=$G7) ),
     ROW(SCHEDULE!BI$1:BI$76),
     ""
    ),COUNTIF($H$1:$H7,$H7)
  )
 ),"
Missing")</f>
        <v xml:space="preserve">
Missing</v>
      </c>
      <c r="AE7" s="210" t="str">
        <f t="array" ref="AE7">IFERROR(
 INDEX(
  SCHEDULE!$A$1:$A$76,
   SMALL(
   IF(
    (ISNUMBER(SEARCH("█",SCHEDULE!AB$1:AB$76)))*
   ( (SCHEDULE!AA$1:AA$76=$B7)+(SCHEDULE!AA$1:AA$76=$C7)+(SCHEDULE!AA$1:AA$76=$D7)+(SCHEDULE!AA$1:AA$76=$E7)+(SCHEDULE!AA$1:AA$76=$F7)+ (SCHEDULE!AC$1:AC$76=$G7) ),
     ROW(SCHEDULE!BJ$1:BJ$76),
     ""
    ),COUNTIF($H$1:$H7,$H7)
  )
 ),"
Missing")</f>
        <v>Ed Baron</v>
      </c>
      <c r="AF7" s="210" t="str">
        <f t="array" ref="AF7">IFERROR(
 INDEX(
  SCHEDULE!$A$1:$A$76,
   SMALL(
   IF(
    (ISNUMBER(SEARCH("█",SCHEDULE!AC$1:AC$76)))*
   ( (SCHEDULE!AB$1:AB$76=$B7)+(SCHEDULE!AB$1:AB$76=$C7)+(SCHEDULE!AB$1:AB$76=$D7)+(SCHEDULE!AB$1:AB$76=$E7)+(SCHEDULE!AB$1:AB$76=$F7)+ (SCHEDULE!AD$1:AD$76=$G7) ),
     ROW(SCHEDULE!BK$1:BK$76),
     ""
    ),COUNTIF($H$1:$H7,$H7)
  )
 ),"
Missing")</f>
        <v xml:space="preserve">
Missing</v>
      </c>
      <c r="AG7" s="210" t="str">
        <f t="array" ref="AG7">IFERROR(
 INDEX(
  SCHEDULE!$A$1:$A$76,
   SMALL(
   IF(
    (ISNUMBER(SEARCH("█",SCHEDULE!AD$1:AD$76)))*
   ( (SCHEDULE!AC$1:AC$76=$B7)+(SCHEDULE!AC$1:AC$76=$C7)+(SCHEDULE!AC$1:AC$76=$D7)+(SCHEDULE!AC$1:AC$76=$E7)+(SCHEDULE!AC$1:AC$76=$F7)+ (SCHEDULE!AE$1:AE$76=$G7) ),
     ROW(SCHEDULE!BL$1:BL$76),
     ""
    ),COUNTIF($H$1:$H7,$H7)
  )
 ),"
Missing")</f>
        <v xml:space="preserve">
Missing</v>
      </c>
      <c r="AH7" s="210" t="str">
        <f t="array" ref="AH7">IFERROR(
 INDEX(
  SCHEDULE!$A$1:$A$76,
   SMALL(
   IF(
    (ISNUMBER(SEARCH("█",SCHEDULE!AE$1:AE$76)))*
   ( (SCHEDULE!AD$1:AD$76=$B7)+(SCHEDULE!AD$1:AD$76=$C7)+(SCHEDULE!AD$1:AD$76=$D7)+(SCHEDULE!AD$1:AD$76=$E7)+(SCHEDULE!AD$1:AD$76=$F7)+ (SCHEDULE!AF$1:AF$76=$G7) ),
     ROW(SCHEDULE!BM$1:BM$76),
     ""
    ),COUNTIF($H$1:$H7,$H7)
  )
 ),"
Missing")</f>
        <v xml:space="preserve">
Missing</v>
      </c>
      <c r="AI7" s="210" t="str">
        <f t="array" ref="AI7">IFERROR(
 INDEX(
  SCHEDULE!$A$1:$A$76,
   SMALL(
   IF(
    (ISNUMBER(SEARCH("█",SCHEDULE!AF$1:AF$76)))*
   ( (SCHEDULE!AE$1:AE$76=$B7)+(SCHEDULE!AE$1:AE$76=$C7)+(SCHEDULE!AE$1:AE$76=$D7)+(SCHEDULE!AE$1:AE$76=$E7)+(SCHEDULE!AE$1:AE$76=$F7)+ (SCHEDULE!AG$1:AG$76=$G7) ),
     ROW(SCHEDULE!BN$1:BN$76),
     ""
    ),COUNTIF($H$1:$H7,$H7)
  )
 ),"
Missing")</f>
        <v>Challis Gatten</v>
      </c>
      <c r="AJ7" s="210" t="str">
        <f t="array" ref="AJ7">IFERROR(
 INDEX(
  SCHEDULE!$A$1:$A$76,
   SMALL(
   IF(
    (ISNUMBER(SEARCH("█",SCHEDULE!AG$1:AG$76)))*
   ( (SCHEDULE!AF$1:AF$76=$B7)+(SCHEDULE!AF$1:AF$76=$C7)+(SCHEDULE!AF$1:AF$76=$D7)+(SCHEDULE!AF$1:AF$76=$E7)+(SCHEDULE!AF$1:AF$76=$F7)+ (SCHEDULE!AH$1:AH$76=$G7) ),
     ROW(SCHEDULE!BO$1:BO$76),
     ""
    ),COUNTIF($H$1:$H7,$H7)
  )
 ),"
Missing")</f>
        <v xml:space="preserve">
Missing</v>
      </c>
      <c r="AK7" s="210" t="str">
        <f t="array" ref="AK7">IFERROR(
 INDEX(
  SCHEDULE!$A$1:$A$76,
   SMALL(
   IF(
    (ISNUMBER(SEARCH("█",SCHEDULE!AH$1:AH$76)))*
   ( (SCHEDULE!AG$1:AG$76=$B7)+(SCHEDULE!AG$1:AG$76=$C7)+(SCHEDULE!AG$1:AG$76=$D7)+(SCHEDULE!AG$1:AG$76=$E7)+(SCHEDULE!AG$1:AG$76=$F7)+ (SCHEDULE!AI$1:AI$76=$G7) ),
     ROW(SCHEDULE!BP$1:BP$76),
     ""
    ),COUNTIF($H$1:$H7,$H7)
  )
 ),"
Missing")</f>
        <v xml:space="preserve">
Missing</v>
      </c>
      <c r="AL7" s="210" t="str">
        <f t="array" ref="AL7">IFERROR(
 INDEX(
  SCHEDULE!$A$1:$A$76,
   SMALL(
   IF(
    (ISNUMBER(SEARCH("█",SCHEDULE!AI$1:AI$76)))*
   ( (SCHEDULE!AH$1:AH$76=$B7)+(SCHEDULE!AH$1:AH$76=$C7)+(SCHEDULE!AH$1:AH$76=$D7)+(SCHEDULE!AH$1:AH$76=$E7)+(SCHEDULE!AH$1:AH$76=$F7)+ (SCHEDULE!AJ$1:AJ$76=$G7) ),
     ROW(SCHEDULE!BQ$1:BQ$76),
     ""
    ),COUNTIF($H$1:$H7,$H7)
  )
 ),"
Missing")</f>
        <v>Challis Gatten</v>
      </c>
      <c r="AM7" s="210" t="str">
        <f t="array" ref="AM7">IFERROR(
 INDEX(
  SCHEDULE!$A$1:$A$76,
   SMALL(
   IF(
    (ISNUMBER(SEARCH("█",SCHEDULE!AJ$1:AJ$76)))*
   ( (SCHEDULE!AI$1:AI$76=$B7)+(SCHEDULE!AI$1:AI$76=$C7)+(SCHEDULE!AI$1:AI$76=$D7)+(SCHEDULE!AI$1:AI$76=$E7)+(SCHEDULE!AI$1:AI$76=$F7)+ (SCHEDULE!AK$1:AK$76=$G7) ),
     ROW(SCHEDULE!BR$1:BR$76),
     ""
    ),COUNTIF($H$1:$H7,$H7)
  )
 ),"
Missing")</f>
        <v xml:space="preserve">
Missing</v>
      </c>
      <c r="AN7" s="210" t="str">
        <f t="array" ref="AN7">IFERROR(
 INDEX(
  SCHEDULE!$A$1:$A$76,
   SMALL(
   IF(
    (ISNUMBER(SEARCH("█",SCHEDULE!AK$1:AK$76)))*
   ( (SCHEDULE!AJ$1:AJ$76=$B7)+(SCHEDULE!AJ$1:AJ$76=$C7)+(SCHEDULE!AJ$1:AJ$76=$D7)+(SCHEDULE!AJ$1:AJ$76=$E7)+(SCHEDULE!AJ$1:AJ$76=$F7)+ (SCHEDULE!AL$1:AL$76=$G7) ),
     ROW(SCHEDULE!BS$1:BS$76),
     ""
    ),COUNTIF($H$1:$H7,$H7)
  )
 ),"
Missing")</f>
        <v xml:space="preserve">
Missing</v>
      </c>
      <c r="AO7" s="210" t="str">
        <f t="array" ref="AO7">IFERROR(
 INDEX(
  SCHEDULE!$A$1:$A$76,
   SMALL(
   IF(
    (ISNUMBER(SEARCH("█",SCHEDULE!AL$1:AL$76)))*
   ( (SCHEDULE!AK$1:AK$76=$B7)+(SCHEDULE!AK$1:AK$76=$C7)+(SCHEDULE!AK$1:AK$76=$D7)+(SCHEDULE!AK$1:AK$76=$E7)+(SCHEDULE!AK$1:AK$76=$F7)+ (SCHEDULE!AM$1:AM$76=$G7) ),
     ROW(SCHEDULE!BT$1:BT$76),
     ""
    ),COUNTIF($H$1:$H7,$H7)
  )
 ),"
Missing")</f>
        <v>Challis Gatten</v>
      </c>
      <c r="AP7" s="210" t="str">
        <f t="array" ref="AP7">IFERROR(
 INDEX(
  SCHEDULE!$A$1:$A$76,
   SMALL(
   IF(
    (ISNUMBER(SEARCH("█",SCHEDULE!AM$1:AM$76)))*
   ( (SCHEDULE!AL$1:AL$76=$B7)+(SCHEDULE!AL$1:AL$76=$C7)+(SCHEDULE!AL$1:AL$76=$D7)+(SCHEDULE!AL$1:AL$76=$E7)+(SCHEDULE!AL$1:AL$76=$F7)+ (SCHEDULE!AN$1:AN$76=$G7) ),
     ROW(SCHEDULE!BU$1:BU$76),
     ""
    ),COUNTIF($H$1:$H7,$H7)
  )
 ),"
Missing")</f>
        <v xml:space="preserve">
Missing</v>
      </c>
      <c r="AQ7" s="210" t="str">
        <f t="array" ref="AQ7">IFERROR(
 INDEX(
  SCHEDULE!$A$1:$A$76,
   SMALL(
   IF(
    (ISNUMBER(SEARCH("█",SCHEDULE!AN$1:AN$76)))*
   ( (SCHEDULE!AM$1:AM$76=$B7)+(SCHEDULE!AM$1:AM$76=$C7)+(SCHEDULE!AM$1:AM$76=$D7)+(SCHEDULE!AM$1:AM$76=$E7)+(SCHEDULE!AM$1:AM$76=$F7)+ (SCHEDULE!AO$1:AO$76=$G7) ),
     ROW(SCHEDULE!BV$1:BV$76),
     ""
    ),COUNTIF($H$1:$H7,$H7)
  )
 ),"
Missing")</f>
        <v xml:space="preserve">
Missing</v>
      </c>
      <c r="AR7" s="210" t="str">
        <f t="array" ref="AR7">IFERROR(
 INDEX(
  SCHEDULE!$A$1:$A$76,
   SMALL(
   IF(
    (ISNUMBER(SEARCH("█",SCHEDULE!AO$1:AO$76)))*
   ( (SCHEDULE!AN$1:AN$76=$B7)+(SCHEDULE!AN$1:AN$76=$C7)+(SCHEDULE!AN$1:AN$76=$D7)+(SCHEDULE!AN$1:AN$76=$E7)+(SCHEDULE!AN$1:AN$76=$F7)+ (SCHEDULE!AP$1:AP$76=$G7) ),
     ROW(SCHEDULE!BW$1:BW$76),
     ""
    ),COUNTIF($H$1:$H7,$H7)
  )
 ),"
Missing")</f>
        <v>Challis Gatten</v>
      </c>
      <c r="AS7" s="210" t="str">
        <f t="array" ref="AS7">IFERROR(
 INDEX(
  SCHEDULE!$A$1:$A$76,
   SMALL(
   IF(
    (ISNUMBER(SEARCH("█",SCHEDULE!AP$1:AP$76)))*
   ( (SCHEDULE!AO$1:AO$76=$B7)+(SCHEDULE!AO$1:AO$76=$C7)+(SCHEDULE!AO$1:AO$76=$D7)+(SCHEDULE!AO$1:AO$76=$E7)+(SCHEDULE!AO$1:AO$76=$F7)+ (SCHEDULE!AQ$1:AQ$76=$G7) ),
     ROW(SCHEDULE!BX$1:BX$76),
     ""
    ),COUNTIF($H$1:$H7,$H7)
  )
 ),"
Missing")</f>
        <v xml:space="preserve">
Missing</v>
      </c>
      <c r="AT7" s="210" t="str">
        <f t="array" ref="AT7">IFERROR(
 INDEX(
  SCHEDULE!$A$1:$A$76,
   SMALL(
   IF(
    (ISNUMBER(SEARCH("█",SCHEDULE!AQ$1:AQ$76)))*
   ( (SCHEDULE!AP$1:AP$76=$B7)+(SCHEDULE!AP$1:AP$76=$C7)+(SCHEDULE!AP$1:AP$76=$D7)+(SCHEDULE!AP$1:AP$76=$E7)+(SCHEDULE!AP$1:AP$76=$F7)+ (SCHEDULE!AR$1:AR$76=$G7) ),
     ROW(SCHEDULE!BY$1:BY$76),
     ""
    ),COUNTIF($H$1:$H7,$H7)
  )
 ),"
Missing")</f>
        <v xml:space="preserve">
Missing</v>
      </c>
      <c r="AU7" s="210" t="str">
        <f t="array" ref="AU7">IFERROR(
 INDEX(
  SCHEDULE!$A$1:$A$76,
   SMALL(
   IF(
    (ISNUMBER(SEARCH("█",SCHEDULE!AR$1:AR$76)))*
   ( (SCHEDULE!AQ$1:AQ$76=$B7)+(SCHEDULE!AQ$1:AQ$76=$C7)+(SCHEDULE!AQ$1:AQ$76=$D7)+(SCHEDULE!AQ$1:AQ$76=$E7)+(SCHEDULE!AQ$1:AQ$76=$F7)+ (SCHEDULE!AS$1:AS$76=$G7) ),
     ROW(SCHEDULE!BZ$1:BZ$76),
     ""
    ),COUNTIF($H$1:$H7,$H7)
  )
 ),"
Missing")</f>
        <v>Challis Gatten</v>
      </c>
      <c r="AV7" s="210" t="str">
        <f t="array" ref="AV7">IFERROR(
 INDEX(
  SCHEDULE!$A$1:$A$76,
   SMALL(
   IF(
    (ISNUMBER(SEARCH("█",SCHEDULE!AS$1:AS$76)))*
   ( (SCHEDULE!AR$1:AR$76=$B7)+(SCHEDULE!AR$1:AR$76=$C7)+(SCHEDULE!AR$1:AR$76=$D7)+(SCHEDULE!AR$1:AR$76=$E7)+(SCHEDULE!AR$1:AR$76=$F7)+ (SCHEDULE!AT$1:AT$76=$G7) ),
     ROW(SCHEDULE!CA$1:CA$76),
     ""
    ),COUNTIF($H$1:$H7,$H7)
  )
 ),"
Missing")</f>
        <v xml:space="preserve">
Missing</v>
      </c>
      <c r="AW7" s="210" t="str">
        <f t="array" ref="AW7">IFERROR(
 INDEX(
  SCHEDULE!$A$1:$A$76,
   SMALL(
   IF(
    (ISNUMBER(SEARCH("█",SCHEDULE!AT$1:AT$76)))*
   ( (SCHEDULE!AS$1:AS$76=$B7)+(SCHEDULE!AS$1:AS$76=$C7)+(SCHEDULE!AS$1:AS$76=$D7)+(SCHEDULE!AS$1:AS$76=$E7)+(SCHEDULE!AS$1:AS$76=$F7)+ (SCHEDULE!AU$1:AU$76=$G7) ),
     ROW(SCHEDULE!CB$1:CB$76),
     ""
    ),COUNTIF($H$1:$H7,$H7)
  )
 ),"
Missing")</f>
        <v xml:space="preserve">
Missing</v>
      </c>
      <c r="AX7" s="210" t="str">
        <f t="array" ref="AX7">IFERROR(
 INDEX(
  SCHEDULE!$A$1:$A$76,
   SMALL(
   IF(
    (ISNUMBER(SEARCH("█",SCHEDULE!AU$1:AU$76)))*
   ( (SCHEDULE!AT$1:AT$76=$B7)+(SCHEDULE!AT$1:AT$76=$C7)+(SCHEDULE!AT$1:AT$76=$D7)+(SCHEDULE!AT$1:AT$76=$E7)+(SCHEDULE!AT$1:AT$76=$F7)+ (SCHEDULE!AV$1:AV$76=$G7) ),
     ROW(SCHEDULE!CC$1:CC$76),
     ""
    ),COUNTIF($H$1:$H7,$H7)
  )
 ),"
Missing")</f>
        <v>DJ Clements</v>
      </c>
      <c r="AY7" s="210" t="str">
        <f t="array" ref="AY7">IFERROR(
 INDEX(
  SCHEDULE!$A$1:$A$76,
   SMALL(
   IF(
    (ISNUMBER(SEARCH("█",SCHEDULE!AV$1:AV$76)))*
   ( (SCHEDULE!AU$1:AU$76=$B7)+(SCHEDULE!AU$1:AU$76=$C7)+(SCHEDULE!AU$1:AU$76=$D7)+(SCHEDULE!AU$1:AU$76=$E7)+(SCHEDULE!AU$1:AU$76=$F7)+ (SCHEDULE!AW$1:AW$76=$G7) ),
     ROW(SCHEDULE!CD$1:CD$76),
     ""
    ),COUNTIF($H$1:$H7,$H7)
  )
 ),"
Missing")</f>
        <v xml:space="preserve">
Missing</v>
      </c>
      <c r="AZ7" s="210" t="str">
        <f t="array" ref="AZ7">IFERROR(
 INDEX(
  SCHEDULE!$A$1:$A$76,
   SMALL(
   IF(
    (ISNUMBER(SEARCH("█",SCHEDULE!AW$1:AW$76)))*
   ( (SCHEDULE!AV$1:AV$76=$B7)+(SCHEDULE!AV$1:AV$76=$C7)+(SCHEDULE!AV$1:AV$76=$D7)+(SCHEDULE!AV$1:AV$76=$E7)+(SCHEDULE!AV$1:AV$76=$F7)+ (SCHEDULE!AX$1:AX$76=$G7) ),
     ROW(SCHEDULE!CE$1:CE$76),
     ""
    ),COUNTIF($H$1:$H7,$H7)
  )
 ),"
Missing")</f>
        <v xml:space="preserve">
Missing</v>
      </c>
      <c r="BA7" s="210" t="str">
        <f t="array" ref="BA7">IFERROR(
 INDEX(
  SCHEDULE!$A$1:$A$76,
   SMALL(
   IF(
    (ISNUMBER(SEARCH("█",SCHEDULE!AX$1:AX$76)))*
   ( (SCHEDULE!AW$1:AW$76=$B7)+(SCHEDULE!AW$1:AW$76=$C7)+(SCHEDULE!AW$1:AW$76=$D7)+(SCHEDULE!AW$1:AW$76=$E7)+(SCHEDULE!AW$1:AW$76=$F7)+ (SCHEDULE!AY$1:AY$76=$G7) ),
     ROW(SCHEDULE!CF$1:CF$76),
     ""
    ),COUNTIF($H$1:$H7,$H7)
  )
 ),"
Missing")</f>
        <v>Ed Baron</v>
      </c>
      <c r="BB7" s="210" t="str">
        <f t="array" ref="BB7">IFERROR(
 INDEX(
  SCHEDULE!$A$1:$A$76,
   SMALL(
   IF(
    (ISNUMBER(SEARCH("█",SCHEDULE!AY$1:AY$76)))*
   ( (SCHEDULE!AX$1:AX$76=$B7)+(SCHEDULE!AX$1:AX$76=$C7)+(SCHEDULE!AX$1:AX$76=$D7)+(SCHEDULE!AX$1:AX$76=$E7)+(SCHEDULE!AX$1:AX$76=$F7)+ (SCHEDULE!AZ$1:AZ$76=$G7) ),
     ROW(SCHEDULE!CG$1:CG$76),
     ""
    ),COUNTIF($H$1:$H7,$H7)
  )
 ),"
Missing")</f>
        <v xml:space="preserve">
Missing</v>
      </c>
      <c r="BC7" s="210" t="str">
        <f t="array" ref="BC7">IFERROR(
 INDEX(
  SCHEDULE!$A$1:$A$76,
   SMALL(
   IF(
    (ISNUMBER(SEARCH("█",SCHEDULE!AZ$1:AZ$76)))*
   ( (SCHEDULE!AY$1:AY$76=$B7)+(SCHEDULE!AY$1:AY$76=$C7)+(SCHEDULE!AY$1:AY$76=$D7)+(SCHEDULE!AY$1:AY$76=$E7)+(SCHEDULE!AY$1:AY$76=$F7)+ (SCHEDULE!BA$1:BA$76=$G7) ),
     ROW(SCHEDULE!CH$1:CH$76),
     ""
    ),COUNTIF($H$1:$H7,$H7)
  )
 ),"
Missing")</f>
        <v xml:space="preserve">
Missing</v>
      </c>
      <c r="BD7" s="210" t="str">
        <f t="array" ref="BD7">IFERROR(
 INDEX(
  SCHEDULE!$A$1:$A$76,
   SMALL(
   IF(
    (ISNUMBER(SEARCH("█",SCHEDULE!BA$1:BA$76)))*
   ( (SCHEDULE!AZ$1:AZ$76=$B7)+(SCHEDULE!AZ$1:AZ$76=$C7)+(SCHEDULE!AZ$1:AZ$76=$D7)+(SCHEDULE!AZ$1:AZ$76=$E7)+(SCHEDULE!AZ$1:AZ$76=$F7)+ (SCHEDULE!BB$1:BB$76=$G7) ),
     ROW(SCHEDULE!CI$1:CI$76),
     ""
    ),COUNTIF($H$1:$H7,$H7)
  )
 ),"
Missing")</f>
        <v xml:space="preserve">
Missing</v>
      </c>
      <c r="BE7" s="210" t="str">
        <f t="array" ref="BE7">IFERROR(
 INDEX(
  SCHEDULE!$A$1:$A$76,
   SMALL(
   IF(
    (ISNUMBER(SEARCH("█",SCHEDULE!BB$1:BB$76)))*
   ( (SCHEDULE!BA$1:BA$76=$B7)+(SCHEDULE!BA$1:BA$76=$C7)+(SCHEDULE!BA$1:BA$76=$D7)+(SCHEDULE!BA$1:BA$76=$E7)+(SCHEDULE!BA$1:BA$76=$F7)+ (SCHEDULE!BC$1:BC$76=$G7) ),
     ROW(SCHEDULE!CJ$1:CJ$76),
     ""
    ),COUNTIF($H$1:$H7,$H7)
  )
 ),"
Missing")</f>
        <v>Challis Gatten</v>
      </c>
    </row>
    <row r="8" spans="2:57" s="208" customFormat="1" x14ac:dyDescent="0.2">
      <c r="B8" s="206">
        <v>0.58333333333333337</v>
      </c>
      <c r="C8" s="206" t="s">
        <v>89</v>
      </c>
      <c r="D8" s="206">
        <v>0.5</v>
      </c>
      <c r="E8" s="206">
        <v>0.54166666666666663</v>
      </c>
      <c r="F8" s="206">
        <v>0.70833333333333337</v>
      </c>
      <c r="G8" s="206" t="s">
        <v>86</v>
      </c>
      <c r="H8" s="207" t="s">
        <v>104</v>
      </c>
      <c r="I8" s="210" t="str">
        <f t="array" ref="I8">IFERROR(
 INDEX(
  SCHEDULE!$A$1:$A$76,
   SMALL(
   IF(
    (ISNUMBER(SEARCH("█",SCHEDULE!F$1:F$76)))*
   ( (SCHEDULE!E$1:E$76=$B8)+(SCHEDULE!E$1:E$76=$C8)+(SCHEDULE!E$1:E$76=$D8)+(SCHEDULE!E$1:E$76=$E8)+(SCHEDULE!E$1:E$76=$F8)+ (SCHEDULE!G$1:G$76=$G8) ),
     ROW(SCHEDULE!AN$1:AN$76),
     ""
    ),COUNTIF($H$1:$H8,$H8)
  )
 ),"
Missing")</f>
        <v>Westly Smyth</v>
      </c>
      <c r="J8" s="210" t="str">
        <f t="array" ref="J8">IFERROR(
 INDEX(
  SCHEDULE!$A$1:$A$76,
   SMALL(
   IF(
    (ISNUMBER(SEARCH("█",SCHEDULE!G$1:G$76)))*
   ( (SCHEDULE!F$1:F$76=$B8)+(SCHEDULE!F$1:F$76=$C8)+(SCHEDULE!F$1:F$76=$D8)+(SCHEDULE!F$1:F$76=$E8)+(SCHEDULE!F$1:F$76=$F8)+ (SCHEDULE!H$1:H$76=$G8) ),
     ROW(SCHEDULE!AO$1:AO$76),
     ""
    ),COUNTIF($H$1:$H8,$H8)
  )
 ),"
Missing")</f>
        <v xml:space="preserve">
Missing</v>
      </c>
      <c r="K8" s="210" t="str">
        <f t="array" ref="K8">IFERROR(
 INDEX(
  SCHEDULE!$A$1:$A$76,
   SMALL(
   IF(
    (ISNUMBER(SEARCH("█",SCHEDULE!H$1:H$76)))*
   ( (SCHEDULE!G$1:G$76=$B8)+(SCHEDULE!G$1:G$76=$C8)+(SCHEDULE!G$1:G$76=$D8)+(SCHEDULE!G$1:G$76=$E8)+(SCHEDULE!G$1:G$76=$F8)+ (SCHEDULE!I$1:I$76=$G8) ),
     ROW(SCHEDULE!AP$1:AP$76),
     ""
    ),COUNTIF($H$1:$H8,$H8)
  )
 ),"
Missing")</f>
        <v xml:space="preserve">
Missing</v>
      </c>
      <c r="L8" s="210" t="str">
        <f t="array" ref="L8">IFERROR(
 INDEX(
  SCHEDULE!$A$1:$A$76,
   SMALL(
   IF(
    (ISNUMBER(SEARCH("█",SCHEDULE!I$1:I$76)))*
   ( (SCHEDULE!H$1:H$76=$B8)+(SCHEDULE!H$1:H$76=$C8)+(SCHEDULE!H$1:H$76=$D8)+(SCHEDULE!H$1:H$76=$E8)+(SCHEDULE!H$1:H$76=$F8)+ (SCHEDULE!J$1:J$76=$G8) ),
     ROW(SCHEDULE!AQ$1:AQ$76),
     ""
    ),COUNTIF($H$1:$H8,$H8)
  )
 ),"
Missing")</f>
        <v xml:space="preserve">
Missing</v>
      </c>
      <c r="M8" s="210" t="str">
        <f t="array" ref="M8">IFERROR(
 INDEX(
  SCHEDULE!$A$1:$A$76,
   SMALL(
   IF(
    (ISNUMBER(SEARCH("█",SCHEDULE!J$1:J$76)))*
   ( (SCHEDULE!I$1:I$76=$B8)+(SCHEDULE!I$1:I$76=$C8)+(SCHEDULE!I$1:I$76=$D8)+(SCHEDULE!I$1:I$76=$E8)+(SCHEDULE!I$1:I$76=$F8)+ (SCHEDULE!K$1:K$76=$G8) ),
     ROW(SCHEDULE!AR$1:AR$76),
     ""
    ),COUNTIF($H$1:$H8,$H8)
  )
 ),"
Missing")</f>
        <v>Tyler Faile</v>
      </c>
      <c r="N8" s="210" t="str">
        <f t="array" ref="N8">IFERROR(
 INDEX(
  SCHEDULE!$A$1:$A$76,
   SMALL(
   IF(
    (ISNUMBER(SEARCH("█",SCHEDULE!K$1:K$76)))*
   ( (SCHEDULE!J$1:J$76=$B8)+(SCHEDULE!J$1:J$76=$C8)+(SCHEDULE!J$1:J$76=$D8)+(SCHEDULE!J$1:J$76=$E8)+(SCHEDULE!J$1:J$76=$F8)+ (SCHEDULE!L$1:L$76=$G8) ),
     ROW(SCHEDULE!AS$1:AS$76),
     ""
    ),COUNTIF($H$1:$H8,$H8)
  )
 ),"
Missing")</f>
        <v xml:space="preserve">
Missing</v>
      </c>
      <c r="O8" s="210" t="str">
        <f t="array" ref="O8">IFERROR(
 INDEX(
  SCHEDULE!$A$1:$A$76,
   SMALL(
   IF(
    (ISNUMBER(SEARCH("█",SCHEDULE!L$1:L$76)))*
   ( (SCHEDULE!K$1:K$76=$B8)+(SCHEDULE!K$1:K$76=$C8)+(SCHEDULE!K$1:K$76=$D8)+(SCHEDULE!K$1:K$76=$E8)+(SCHEDULE!K$1:K$76=$F8)+ (SCHEDULE!M$1:M$76=$G8) ),
     ROW(SCHEDULE!AT$1:AT$76),
     ""
    ),COUNTIF($H$1:$H8,$H8)
  )
 ),"
Missing")</f>
        <v xml:space="preserve">
Missing</v>
      </c>
      <c r="P8" s="210" t="str">
        <f t="array" ref="P8">IFERROR(
 INDEX(
  SCHEDULE!$A$1:$A$76,
   SMALL(
   IF(
    (ISNUMBER(SEARCH("█",SCHEDULE!M$1:M$76)))*
   ( (SCHEDULE!L$1:L$76=$B8)+(SCHEDULE!L$1:L$76=$C8)+(SCHEDULE!L$1:L$76=$D8)+(SCHEDULE!L$1:L$76=$E8)+(SCHEDULE!L$1:L$76=$F8)+ (SCHEDULE!N$1:N$76=$G8) ),
     ROW(SCHEDULE!AU$1:AU$76),
     ""
    ),COUNTIF($H$1:$H8,$H8)
  )
 ),"
Missing")</f>
        <v>DJ Clements</v>
      </c>
      <c r="Q8" s="210" t="str">
        <f t="array" ref="Q8">IFERROR(
 INDEX(
  SCHEDULE!$A$1:$A$76,
   SMALL(
   IF(
    (ISNUMBER(SEARCH("█",SCHEDULE!N$1:N$76)))*
   ( (SCHEDULE!M$1:M$76=$B8)+(SCHEDULE!M$1:M$76=$C8)+(SCHEDULE!M$1:M$76=$D8)+(SCHEDULE!M$1:M$76=$E8)+(SCHEDULE!M$1:M$76=$F8)+ (SCHEDULE!O$1:O$76=$G8) ),
     ROW(SCHEDULE!AV$1:AV$76),
     ""
    ),COUNTIF($H$1:$H8,$H8)
  )
 ),"
Missing")</f>
        <v xml:space="preserve">
Missing</v>
      </c>
      <c r="R8" s="210" t="str">
        <f t="array" ref="R8">IFERROR(
 INDEX(
  SCHEDULE!$A$1:$A$76,
   SMALL(
   IF(
    (ISNUMBER(SEARCH("█",SCHEDULE!O$1:O$76)))*
   ( (SCHEDULE!N$1:N$76=$B8)+(SCHEDULE!N$1:N$76=$C8)+(SCHEDULE!N$1:N$76=$D8)+(SCHEDULE!N$1:N$76=$E8)+(SCHEDULE!N$1:N$76=$F8)+ (SCHEDULE!P$1:P$76=$G8) ),
     ROW(SCHEDULE!AW$1:AW$76),
     ""
    ),COUNTIF($H$1:$H8,$H8)
  )
 ),"
Missing")</f>
        <v xml:space="preserve">
Missing</v>
      </c>
      <c r="S8" s="210" t="str">
        <f t="array" ref="S8">IFERROR(
 INDEX(
  SCHEDULE!$A$1:$A$76,
   SMALL(
   IF(
    (ISNUMBER(SEARCH("█",SCHEDULE!P$1:P$76)))*
   ( (SCHEDULE!O$1:O$76=$B8)+(SCHEDULE!O$1:O$76=$C8)+(SCHEDULE!O$1:O$76=$D8)+(SCHEDULE!O$1:O$76=$E8)+(SCHEDULE!O$1:O$76=$F8)+ (SCHEDULE!Q$1:Q$76=$G8) ),
     ROW(SCHEDULE!AX$1:AX$76),
     ""
    ),COUNTIF($H$1:$H8,$H8)
  )
 ),"
Missing")</f>
        <v>DJ Clements</v>
      </c>
      <c r="T8" s="210" t="str">
        <f t="array" ref="T8">IFERROR(
 INDEX(
  SCHEDULE!$A$1:$A$76,
   SMALL(
   IF(
    (ISNUMBER(SEARCH("█",SCHEDULE!Q$1:Q$76)))*
   ( (SCHEDULE!P$1:P$76=$B8)+(SCHEDULE!P$1:P$76=$C8)+(SCHEDULE!P$1:P$76=$D8)+(SCHEDULE!P$1:P$76=$E8)+(SCHEDULE!P$1:P$76=$F8)+ (SCHEDULE!R$1:R$76=$G8) ),
     ROW(SCHEDULE!AY$1:AY$76),
     ""
    ),COUNTIF($H$1:$H8,$H8)
  )
 ),"
Missing")</f>
        <v xml:space="preserve">
Missing</v>
      </c>
      <c r="U8" s="210" t="str">
        <f t="array" ref="U8">IFERROR(
 INDEX(
  SCHEDULE!$A$1:$A$76,
   SMALL(
   IF(
    (ISNUMBER(SEARCH("█",SCHEDULE!R$1:R$76)))*
   ( (SCHEDULE!Q$1:Q$76=$B8)+(SCHEDULE!Q$1:Q$76=$C8)+(SCHEDULE!Q$1:Q$76=$D8)+(SCHEDULE!Q$1:Q$76=$E8)+(SCHEDULE!Q$1:Q$76=$F8)+ (SCHEDULE!S$1:S$76=$G8) ),
     ROW(SCHEDULE!AZ$1:AZ$76),
     ""
    ),COUNTIF($H$1:$H8,$H8)
  )
 ),"
Missing")</f>
        <v xml:space="preserve">
Missing</v>
      </c>
      <c r="V8" s="210" t="str">
        <f t="array" ref="V8">IFERROR(
 INDEX(
  SCHEDULE!$A$1:$A$76,
   SMALL(
   IF(
    (ISNUMBER(SEARCH("█",SCHEDULE!S$1:S$76)))*
   ( (SCHEDULE!R$1:R$76=$B8)+(SCHEDULE!R$1:R$76=$C8)+(SCHEDULE!R$1:R$76=$D8)+(SCHEDULE!R$1:R$76=$E8)+(SCHEDULE!R$1:R$76=$F8)+ (SCHEDULE!T$1:T$76=$G8) ),
     ROW(SCHEDULE!BA$1:BA$76),
     ""
    ),COUNTIF($H$1:$H8,$H8)
  )
 ),"
Missing")</f>
        <v>Challis Gatten</v>
      </c>
      <c r="W8" s="210" t="str">
        <f t="array" ref="W8">IFERROR(
 INDEX(
  SCHEDULE!$A$1:$A$76,
   SMALL(
   IF(
    (ISNUMBER(SEARCH("█",SCHEDULE!T$1:T$76)))*
   ( (SCHEDULE!S$1:S$76=$B8)+(SCHEDULE!S$1:S$76=$C8)+(SCHEDULE!S$1:S$76=$D8)+(SCHEDULE!S$1:S$76=$E8)+(SCHEDULE!S$1:S$76=$F8)+ (SCHEDULE!U$1:U$76=$G8) ),
     ROW(SCHEDULE!BB$1:BB$76),
     ""
    ),COUNTIF($H$1:$H8,$H8)
  )
 ),"
Missing")</f>
        <v xml:space="preserve">
Missing</v>
      </c>
      <c r="X8" s="210" t="str">
        <f t="array" ref="X8">IFERROR(
 INDEX(
  SCHEDULE!$A$1:$A$76,
   SMALL(
   IF(
    (ISNUMBER(SEARCH("█",SCHEDULE!U$1:U$76)))*
   ( (SCHEDULE!T$1:T$76=$B8)+(SCHEDULE!T$1:T$76=$C8)+(SCHEDULE!T$1:T$76=$D8)+(SCHEDULE!T$1:T$76=$E8)+(SCHEDULE!T$1:T$76=$F8)+ (SCHEDULE!V$1:V$76=$G8) ),
     ROW(SCHEDULE!BC$1:BC$76),
     ""
    ),COUNTIF($H$1:$H8,$H8)
  )
 ),"
Missing")</f>
        <v xml:space="preserve">
Missing</v>
      </c>
      <c r="Y8" s="210" t="str">
        <f t="array" ref="Y8">IFERROR(
 INDEX(
  SCHEDULE!$A$1:$A$76,
   SMALL(
   IF(
    (ISNUMBER(SEARCH("█",SCHEDULE!V$1:V$76)))*
   ( (SCHEDULE!U$1:U$76=$B8)+(SCHEDULE!U$1:U$76=$C8)+(SCHEDULE!U$1:U$76=$D8)+(SCHEDULE!U$1:U$76=$E8)+(SCHEDULE!U$1:U$76=$F8)+ (SCHEDULE!W$1:W$76=$G8) ),
     ROW(SCHEDULE!BD$1:BD$76),
     ""
    ),COUNTIF($H$1:$H8,$H8)
  )
 ),"
Missing")</f>
        <v>Challis Gatten</v>
      </c>
      <c r="Z8" s="210" t="str">
        <f t="array" ref="Z8">IFERROR(
 INDEX(
  SCHEDULE!$A$1:$A$76,
   SMALL(
   IF(
    (ISNUMBER(SEARCH("█",SCHEDULE!W$1:W$76)))*
   ( (SCHEDULE!V$1:V$76=$B8)+(SCHEDULE!V$1:V$76=$C8)+(SCHEDULE!V$1:V$76=$D8)+(SCHEDULE!V$1:V$76=$E8)+(SCHEDULE!V$1:V$76=$F8)+ (SCHEDULE!X$1:X$76=$G8) ),
     ROW(SCHEDULE!BE$1:BE$76),
     ""
    ),COUNTIF($H$1:$H8,$H8)
  )
 ),"
Missing")</f>
        <v xml:space="preserve">
Missing</v>
      </c>
      <c r="AA8" s="210" t="str">
        <f t="array" ref="AA8">IFERROR(
 INDEX(
  SCHEDULE!$A$1:$A$76,
   SMALL(
   IF(
    (ISNUMBER(SEARCH("█",SCHEDULE!X$1:X$76)))*
   ( (SCHEDULE!W$1:W$76=$B8)+(SCHEDULE!W$1:W$76=$C8)+(SCHEDULE!W$1:W$76=$D8)+(SCHEDULE!W$1:W$76=$E8)+(SCHEDULE!W$1:W$76=$F8)+ (SCHEDULE!Y$1:Y$76=$G8) ),
     ROW(SCHEDULE!BF$1:BF$76),
     ""
    ),COUNTIF($H$1:$H8,$H8)
  )
 ),"
Missing")</f>
        <v xml:space="preserve">
Missing</v>
      </c>
      <c r="AB8" s="210" t="str">
        <f t="array" ref="AB8">IFERROR(
 INDEX(
  SCHEDULE!$A$1:$A$76,
   SMALL(
   IF(
    (ISNUMBER(SEARCH("█",SCHEDULE!Y$1:Y$76)))*
   ( (SCHEDULE!X$1:X$76=$B8)+(SCHEDULE!X$1:X$76=$C8)+(SCHEDULE!X$1:X$76=$D8)+(SCHEDULE!X$1:X$76=$E8)+(SCHEDULE!X$1:X$76=$F8)+ (SCHEDULE!Z$1:Z$76=$G8) ),
     ROW(SCHEDULE!BG$1:BG$76),
     ""
    ),COUNTIF($H$1:$H8,$H8)
  )
 ),"
Missing")</f>
        <v>Paul Soares</v>
      </c>
      <c r="AC8" s="210" t="str">
        <f t="array" ref="AC8">IFERROR(
 INDEX(
  SCHEDULE!$A$1:$A$76,
   SMALL(
   IF(
    (ISNUMBER(SEARCH("█",SCHEDULE!Z$1:Z$76)))*
   ( (SCHEDULE!Y$1:Y$76=$B8)+(SCHEDULE!Y$1:Y$76=$C8)+(SCHEDULE!Y$1:Y$76=$D8)+(SCHEDULE!Y$1:Y$76=$E8)+(SCHEDULE!Y$1:Y$76=$F8)+ (SCHEDULE!AA$1:AA$76=$G8) ),
     ROW(SCHEDULE!BH$1:BH$76),
     ""
    ),COUNTIF($H$1:$H8,$H8)
  )
 ),"
Missing")</f>
        <v xml:space="preserve">
Missing</v>
      </c>
      <c r="AD8" s="210" t="str">
        <f t="array" ref="AD8">IFERROR(
 INDEX(
  SCHEDULE!$A$1:$A$76,
   SMALL(
   IF(
    (ISNUMBER(SEARCH("█",SCHEDULE!AA$1:AA$76)))*
   ( (SCHEDULE!Z$1:Z$76=$B8)+(SCHEDULE!Z$1:Z$76=$C8)+(SCHEDULE!Z$1:Z$76=$D8)+(SCHEDULE!Z$1:Z$76=$E8)+(SCHEDULE!Z$1:Z$76=$F8)+ (SCHEDULE!AB$1:AB$76=$G8) ),
     ROW(SCHEDULE!BI$1:BI$76),
     ""
    ),COUNTIF($H$1:$H8,$H8)
  )
 ),"
Missing")</f>
        <v xml:space="preserve">
Missing</v>
      </c>
      <c r="AE8" s="210" t="str">
        <f t="array" ref="AE8">IFERROR(
 INDEX(
  SCHEDULE!$A$1:$A$76,
   SMALL(
   IF(
    (ISNUMBER(SEARCH("█",SCHEDULE!AB$1:AB$76)))*
   ( (SCHEDULE!AA$1:AA$76=$B8)+(SCHEDULE!AA$1:AA$76=$C8)+(SCHEDULE!AA$1:AA$76=$D8)+(SCHEDULE!AA$1:AA$76=$E8)+(SCHEDULE!AA$1:AA$76=$F8)+ (SCHEDULE!AC$1:AC$76=$G8) ),
     ROW(SCHEDULE!BJ$1:BJ$76),
     ""
    ),COUNTIF($H$1:$H8,$H8)
  )
 ),"
Missing")</f>
        <v>Paul Soares</v>
      </c>
      <c r="AF8" s="210" t="str">
        <f t="array" ref="AF8">IFERROR(
 INDEX(
  SCHEDULE!$A$1:$A$76,
   SMALL(
   IF(
    (ISNUMBER(SEARCH("█",SCHEDULE!AC$1:AC$76)))*
   ( (SCHEDULE!AB$1:AB$76=$B8)+(SCHEDULE!AB$1:AB$76=$C8)+(SCHEDULE!AB$1:AB$76=$D8)+(SCHEDULE!AB$1:AB$76=$E8)+(SCHEDULE!AB$1:AB$76=$F8)+ (SCHEDULE!AD$1:AD$76=$G8) ),
     ROW(SCHEDULE!BK$1:BK$76),
     ""
    ),COUNTIF($H$1:$H8,$H8)
  )
 ),"
Missing")</f>
        <v xml:space="preserve">
Missing</v>
      </c>
      <c r="AG8" s="210" t="str">
        <f t="array" ref="AG8">IFERROR(
 INDEX(
  SCHEDULE!$A$1:$A$76,
   SMALL(
   IF(
    (ISNUMBER(SEARCH("█",SCHEDULE!AD$1:AD$76)))*
   ( (SCHEDULE!AC$1:AC$76=$B8)+(SCHEDULE!AC$1:AC$76=$C8)+(SCHEDULE!AC$1:AC$76=$D8)+(SCHEDULE!AC$1:AC$76=$E8)+(SCHEDULE!AC$1:AC$76=$F8)+ (SCHEDULE!AE$1:AE$76=$G8) ),
     ROW(SCHEDULE!BL$1:BL$76),
     ""
    ),COUNTIF($H$1:$H8,$H8)
  )
 ),"
Missing")</f>
        <v xml:space="preserve">
Missing</v>
      </c>
      <c r="AH8" s="210" t="str">
        <f t="array" ref="AH8">IFERROR(
 INDEX(
  SCHEDULE!$A$1:$A$76,
   SMALL(
   IF(
    (ISNUMBER(SEARCH("█",SCHEDULE!AE$1:AE$76)))*
   ( (SCHEDULE!AD$1:AD$76=$B8)+(SCHEDULE!AD$1:AD$76=$C8)+(SCHEDULE!AD$1:AD$76=$D8)+(SCHEDULE!AD$1:AD$76=$E8)+(SCHEDULE!AD$1:AD$76=$F8)+ (SCHEDULE!AF$1:AF$76=$G8) ),
     ROW(SCHEDULE!BM$1:BM$76),
     ""
    ),COUNTIF($H$1:$H8,$H8)
  )
 ),"
Missing")</f>
        <v xml:space="preserve">
Missing</v>
      </c>
      <c r="AI8" s="210" t="str">
        <f t="array" ref="AI8">IFERROR(
 INDEX(
  SCHEDULE!$A$1:$A$76,
   SMALL(
   IF(
    (ISNUMBER(SEARCH("█",SCHEDULE!AF$1:AF$76)))*
   ( (SCHEDULE!AE$1:AE$76=$B8)+(SCHEDULE!AE$1:AE$76=$C8)+(SCHEDULE!AE$1:AE$76=$D8)+(SCHEDULE!AE$1:AE$76=$E8)+(SCHEDULE!AE$1:AE$76=$F8)+ (SCHEDULE!AG$1:AG$76=$G8) ),
     ROW(SCHEDULE!BN$1:BN$76),
     ""
    ),COUNTIF($H$1:$H8,$H8)
  )
 ),"
Missing")</f>
        <v>Paul Soares</v>
      </c>
      <c r="AJ8" s="210" t="str">
        <f t="array" ref="AJ8">IFERROR(
 INDEX(
  SCHEDULE!$A$1:$A$76,
   SMALL(
   IF(
    (ISNUMBER(SEARCH("█",SCHEDULE!AG$1:AG$76)))*
   ( (SCHEDULE!AF$1:AF$76=$B8)+(SCHEDULE!AF$1:AF$76=$C8)+(SCHEDULE!AF$1:AF$76=$D8)+(SCHEDULE!AF$1:AF$76=$E8)+(SCHEDULE!AF$1:AF$76=$F8)+ (SCHEDULE!AH$1:AH$76=$G8) ),
     ROW(SCHEDULE!BO$1:BO$76),
     ""
    ),COUNTIF($H$1:$H8,$H8)
  )
 ),"
Missing")</f>
        <v xml:space="preserve">
Missing</v>
      </c>
      <c r="AK8" s="210" t="str">
        <f t="array" ref="AK8">IFERROR(
 INDEX(
  SCHEDULE!$A$1:$A$76,
   SMALL(
   IF(
    (ISNUMBER(SEARCH("█",SCHEDULE!AH$1:AH$76)))*
   ( (SCHEDULE!AG$1:AG$76=$B8)+(SCHEDULE!AG$1:AG$76=$C8)+(SCHEDULE!AG$1:AG$76=$D8)+(SCHEDULE!AG$1:AG$76=$E8)+(SCHEDULE!AG$1:AG$76=$F8)+ (SCHEDULE!AI$1:AI$76=$G8) ),
     ROW(SCHEDULE!BP$1:BP$76),
     ""
    ),COUNTIF($H$1:$H8,$H8)
  )
 ),"
Missing")</f>
        <v xml:space="preserve">
Missing</v>
      </c>
      <c r="AL8" s="210" t="str">
        <f t="array" ref="AL8">IFERROR(
 INDEX(
  SCHEDULE!$A$1:$A$76,
   SMALL(
   IF(
    (ISNUMBER(SEARCH("█",SCHEDULE!AI$1:AI$76)))*
   ( (SCHEDULE!AH$1:AH$76=$B8)+(SCHEDULE!AH$1:AH$76=$C8)+(SCHEDULE!AH$1:AH$76=$D8)+(SCHEDULE!AH$1:AH$76=$E8)+(SCHEDULE!AH$1:AH$76=$F8)+ (SCHEDULE!AJ$1:AJ$76=$G8) ),
     ROW(SCHEDULE!BQ$1:BQ$76),
     ""
    ),COUNTIF($H$1:$H8,$H8)
  )
 ),"
Missing")</f>
        <v>DJ Clements</v>
      </c>
      <c r="AM8" s="210" t="str">
        <f t="array" ref="AM8">IFERROR(
 INDEX(
  SCHEDULE!$A$1:$A$76,
   SMALL(
   IF(
    (ISNUMBER(SEARCH("█",SCHEDULE!AJ$1:AJ$76)))*
   ( (SCHEDULE!AI$1:AI$76=$B8)+(SCHEDULE!AI$1:AI$76=$C8)+(SCHEDULE!AI$1:AI$76=$D8)+(SCHEDULE!AI$1:AI$76=$E8)+(SCHEDULE!AI$1:AI$76=$F8)+ (SCHEDULE!AK$1:AK$76=$G8) ),
     ROW(SCHEDULE!BR$1:BR$76),
     ""
    ),COUNTIF($H$1:$H8,$H8)
  )
 ),"
Missing")</f>
        <v xml:space="preserve">
Missing</v>
      </c>
      <c r="AN8" s="210" t="str">
        <f t="array" ref="AN8">IFERROR(
 INDEX(
  SCHEDULE!$A$1:$A$76,
   SMALL(
   IF(
    (ISNUMBER(SEARCH("█",SCHEDULE!AK$1:AK$76)))*
   ( (SCHEDULE!AJ$1:AJ$76=$B8)+(SCHEDULE!AJ$1:AJ$76=$C8)+(SCHEDULE!AJ$1:AJ$76=$D8)+(SCHEDULE!AJ$1:AJ$76=$E8)+(SCHEDULE!AJ$1:AJ$76=$F8)+ (SCHEDULE!AL$1:AL$76=$G8) ),
     ROW(SCHEDULE!BS$1:BS$76),
     ""
    ),COUNTIF($H$1:$H8,$H8)
  )
 ),"
Missing")</f>
        <v xml:space="preserve">
Missing</v>
      </c>
      <c r="AO8" s="210" t="str">
        <f t="array" ref="AO8">IFERROR(
 INDEX(
  SCHEDULE!$A$1:$A$76,
   SMALL(
   IF(
    (ISNUMBER(SEARCH("█",SCHEDULE!AL$1:AL$76)))*
   ( (SCHEDULE!AK$1:AK$76=$B8)+(SCHEDULE!AK$1:AK$76=$C8)+(SCHEDULE!AK$1:AK$76=$D8)+(SCHEDULE!AK$1:AK$76=$E8)+(SCHEDULE!AK$1:AK$76=$F8)+ (SCHEDULE!AM$1:AM$76=$G8) ),
     ROW(SCHEDULE!BT$1:BT$76),
     ""
    ),COUNTIF($H$1:$H8,$H8)
  )
 ),"
Missing")</f>
        <v>DJ Clements</v>
      </c>
      <c r="AP8" s="210" t="str">
        <f t="array" ref="AP8">IFERROR(
 INDEX(
  SCHEDULE!$A$1:$A$76,
   SMALL(
   IF(
    (ISNUMBER(SEARCH("█",SCHEDULE!AM$1:AM$76)))*
   ( (SCHEDULE!AL$1:AL$76=$B8)+(SCHEDULE!AL$1:AL$76=$C8)+(SCHEDULE!AL$1:AL$76=$D8)+(SCHEDULE!AL$1:AL$76=$E8)+(SCHEDULE!AL$1:AL$76=$F8)+ (SCHEDULE!AN$1:AN$76=$G8) ),
     ROW(SCHEDULE!BU$1:BU$76),
     ""
    ),COUNTIF($H$1:$H8,$H8)
  )
 ),"
Missing")</f>
        <v xml:space="preserve">
Missing</v>
      </c>
      <c r="AQ8" s="210" t="str">
        <f t="array" ref="AQ8">IFERROR(
 INDEX(
  SCHEDULE!$A$1:$A$76,
   SMALL(
   IF(
    (ISNUMBER(SEARCH("█",SCHEDULE!AN$1:AN$76)))*
   ( (SCHEDULE!AM$1:AM$76=$B8)+(SCHEDULE!AM$1:AM$76=$C8)+(SCHEDULE!AM$1:AM$76=$D8)+(SCHEDULE!AM$1:AM$76=$E8)+(SCHEDULE!AM$1:AM$76=$F8)+ (SCHEDULE!AO$1:AO$76=$G8) ),
     ROW(SCHEDULE!BV$1:BV$76),
     ""
    ),COUNTIF($H$1:$H8,$H8)
  )
 ),"
Missing")</f>
        <v xml:space="preserve">
Missing</v>
      </c>
      <c r="AR8" s="210" t="str">
        <f t="array" ref="AR8">IFERROR(
 INDEX(
  SCHEDULE!$A$1:$A$76,
   SMALL(
   IF(
    (ISNUMBER(SEARCH("█",SCHEDULE!AO$1:AO$76)))*
   ( (SCHEDULE!AN$1:AN$76=$B8)+(SCHEDULE!AN$1:AN$76=$C8)+(SCHEDULE!AN$1:AN$76=$D8)+(SCHEDULE!AN$1:AN$76=$E8)+(SCHEDULE!AN$1:AN$76=$F8)+ (SCHEDULE!AP$1:AP$76=$G8) ),
     ROW(SCHEDULE!BW$1:BW$76),
     ""
    ),COUNTIF($H$1:$H8,$H8)
  )
 ),"
Missing")</f>
        <v>DJ Clements</v>
      </c>
      <c r="AS8" s="210" t="str">
        <f t="array" ref="AS8">IFERROR(
 INDEX(
  SCHEDULE!$A$1:$A$76,
   SMALL(
   IF(
    (ISNUMBER(SEARCH("█",SCHEDULE!AP$1:AP$76)))*
   ( (SCHEDULE!AO$1:AO$76=$B8)+(SCHEDULE!AO$1:AO$76=$C8)+(SCHEDULE!AO$1:AO$76=$D8)+(SCHEDULE!AO$1:AO$76=$E8)+(SCHEDULE!AO$1:AO$76=$F8)+ (SCHEDULE!AQ$1:AQ$76=$G8) ),
     ROW(SCHEDULE!BX$1:BX$76),
     ""
    ),COUNTIF($H$1:$H8,$H8)
  )
 ),"
Missing")</f>
        <v xml:space="preserve">
Missing</v>
      </c>
      <c r="AT8" s="210" t="str">
        <f t="array" ref="AT8">IFERROR(
 INDEX(
  SCHEDULE!$A$1:$A$76,
   SMALL(
   IF(
    (ISNUMBER(SEARCH("█",SCHEDULE!AQ$1:AQ$76)))*
   ( (SCHEDULE!AP$1:AP$76=$B8)+(SCHEDULE!AP$1:AP$76=$C8)+(SCHEDULE!AP$1:AP$76=$D8)+(SCHEDULE!AP$1:AP$76=$E8)+(SCHEDULE!AP$1:AP$76=$F8)+ (SCHEDULE!AR$1:AR$76=$G8) ),
     ROW(SCHEDULE!BY$1:BY$76),
     ""
    ),COUNTIF($H$1:$H8,$H8)
  )
 ),"
Missing")</f>
        <v xml:space="preserve">
Missing</v>
      </c>
      <c r="AU8" s="210" t="str">
        <f t="array" ref="AU8">IFERROR(
 INDEX(
  SCHEDULE!$A$1:$A$76,
   SMALL(
   IF(
    (ISNUMBER(SEARCH("█",SCHEDULE!AR$1:AR$76)))*
   ( (SCHEDULE!AQ$1:AQ$76=$B8)+(SCHEDULE!AQ$1:AQ$76=$C8)+(SCHEDULE!AQ$1:AQ$76=$D8)+(SCHEDULE!AQ$1:AQ$76=$E8)+(SCHEDULE!AQ$1:AQ$76=$F8)+ (SCHEDULE!AS$1:AS$76=$G8) ),
     ROW(SCHEDULE!BZ$1:BZ$76),
     ""
    ),COUNTIF($H$1:$H8,$H8)
  )
 ),"
Missing")</f>
        <v>DJ Clements</v>
      </c>
      <c r="AV8" s="210" t="str">
        <f t="array" ref="AV8">IFERROR(
 INDEX(
  SCHEDULE!$A$1:$A$76,
   SMALL(
   IF(
    (ISNUMBER(SEARCH("█",SCHEDULE!AS$1:AS$76)))*
   ( (SCHEDULE!AR$1:AR$76=$B8)+(SCHEDULE!AR$1:AR$76=$C8)+(SCHEDULE!AR$1:AR$76=$D8)+(SCHEDULE!AR$1:AR$76=$E8)+(SCHEDULE!AR$1:AR$76=$F8)+ (SCHEDULE!AT$1:AT$76=$G8) ),
     ROW(SCHEDULE!CA$1:CA$76),
     ""
    ),COUNTIF($H$1:$H8,$H8)
  )
 ),"
Missing")</f>
        <v xml:space="preserve">
Missing</v>
      </c>
      <c r="AW8" s="210" t="str">
        <f t="array" ref="AW8">IFERROR(
 INDEX(
  SCHEDULE!$A$1:$A$76,
   SMALL(
   IF(
    (ISNUMBER(SEARCH("█",SCHEDULE!AT$1:AT$76)))*
   ( (SCHEDULE!AS$1:AS$76=$B8)+(SCHEDULE!AS$1:AS$76=$C8)+(SCHEDULE!AS$1:AS$76=$D8)+(SCHEDULE!AS$1:AS$76=$E8)+(SCHEDULE!AS$1:AS$76=$F8)+ (SCHEDULE!AU$1:AU$76=$G8) ),
     ROW(SCHEDULE!CB$1:CB$76),
     ""
    ),COUNTIF($H$1:$H8,$H8)
  )
 ),"
Missing")</f>
        <v xml:space="preserve">
Missing</v>
      </c>
      <c r="AX8" s="210" t="str">
        <f t="array" ref="AX8">IFERROR(
 INDEX(
  SCHEDULE!$A$1:$A$76,
   SMALL(
   IF(
    (ISNUMBER(SEARCH("█",SCHEDULE!AU$1:AU$76)))*
   ( (SCHEDULE!AT$1:AT$76=$B8)+(SCHEDULE!AT$1:AT$76=$C8)+(SCHEDULE!AT$1:AT$76=$D8)+(SCHEDULE!AT$1:AT$76=$E8)+(SCHEDULE!AT$1:AT$76=$F8)+ (SCHEDULE!AV$1:AV$76=$G8) ),
     ROW(SCHEDULE!CC$1:CC$76),
     ""
    ),COUNTIF($H$1:$H8,$H8)
  )
 ),"
Missing")</f>
        <v>Paul Soares</v>
      </c>
      <c r="AY8" s="210" t="str">
        <f t="array" ref="AY8">IFERROR(
 INDEX(
  SCHEDULE!$A$1:$A$76,
   SMALL(
   IF(
    (ISNUMBER(SEARCH("█",SCHEDULE!AV$1:AV$76)))*
   ( (SCHEDULE!AU$1:AU$76=$B8)+(SCHEDULE!AU$1:AU$76=$C8)+(SCHEDULE!AU$1:AU$76=$D8)+(SCHEDULE!AU$1:AU$76=$E8)+(SCHEDULE!AU$1:AU$76=$F8)+ (SCHEDULE!AW$1:AW$76=$G8) ),
     ROW(SCHEDULE!CD$1:CD$76),
     ""
    ),COUNTIF($H$1:$H8,$H8)
  )
 ),"
Missing")</f>
        <v xml:space="preserve">
Missing</v>
      </c>
      <c r="AZ8" s="210" t="str">
        <f t="array" ref="AZ8">IFERROR(
 INDEX(
  SCHEDULE!$A$1:$A$76,
   SMALL(
   IF(
    (ISNUMBER(SEARCH("█",SCHEDULE!AW$1:AW$76)))*
   ( (SCHEDULE!AV$1:AV$76=$B8)+(SCHEDULE!AV$1:AV$76=$C8)+(SCHEDULE!AV$1:AV$76=$D8)+(SCHEDULE!AV$1:AV$76=$E8)+(SCHEDULE!AV$1:AV$76=$F8)+ (SCHEDULE!AX$1:AX$76=$G8) ),
     ROW(SCHEDULE!CE$1:CE$76),
     ""
    ),COUNTIF($H$1:$H8,$H8)
  )
 ),"
Missing")</f>
        <v xml:space="preserve">
Missing</v>
      </c>
      <c r="BA8" s="210" t="str">
        <f t="array" ref="BA8">IFERROR(
 INDEX(
  SCHEDULE!$A$1:$A$76,
   SMALL(
   IF(
    (ISNUMBER(SEARCH("█",SCHEDULE!AX$1:AX$76)))*
   ( (SCHEDULE!AW$1:AW$76=$B8)+(SCHEDULE!AW$1:AW$76=$C8)+(SCHEDULE!AW$1:AW$76=$D8)+(SCHEDULE!AW$1:AW$76=$E8)+(SCHEDULE!AW$1:AW$76=$F8)+ (SCHEDULE!AY$1:AY$76=$G8) ),
     ROW(SCHEDULE!CF$1:CF$76),
     ""
    ),COUNTIF($H$1:$H8,$H8)
  )
 ),"
Missing")</f>
        <v>Paul Soares</v>
      </c>
      <c r="BB8" s="210" t="str">
        <f t="array" ref="BB8">IFERROR(
 INDEX(
  SCHEDULE!$A$1:$A$76,
   SMALL(
   IF(
    (ISNUMBER(SEARCH("█",SCHEDULE!AY$1:AY$76)))*
   ( (SCHEDULE!AX$1:AX$76=$B8)+(SCHEDULE!AX$1:AX$76=$C8)+(SCHEDULE!AX$1:AX$76=$D8)+(SCHEDULE!AX$1:AX$76=$E8)+(SCHEDULE!AX$1:AX$76=$F8)+ (SCHEDULE!AZ$1:AZ$76=$G8) ),
     ROW(SCHEDULE!CG$1:CG$76),
     ""
    ),COUNTIF($H$1:$H8,$H8)
  )
 ),"
Missing")</f>
        <v xml:space="preserve">
Missing</v>
      </c>
      <c r="BC8" s="210" t="str">
        <f t="array" ref="BC8">IFERROR(
 INDEX(
  SCHEDULE!$A$1:$A$76,
   SMALL(
   IF(
    (ISNUMBER(SEARCH("█",SCHEDULE!AZ$1:AZ$76)))*
   ( (SCHEDULE!AY$1:AY$76=$B8)+(SCHEDULE!AY$1:AY$76=$C8)+(SCHEDULE!AY$1:AY$76=$D8)+(SCHEDULE!AY$1:AY$76=$E8)+(SCHEDULE!AY$1:AY$76=$F8)+ (SCHEDULE!BA$1:BA$76=$G8) ),
     ROW(SCHEDULE!CH$1:CH$76),
     ""
    ),COUNTIF($H$1:$H8,$H8)
  )
 ),"
Missing")</f>
        <v xml:space="preserve">
Missing</v>
      </c>
      <c r="BD8" s="210" t="str">
        <f t="array" ref="BD8">IFERROR(
 INDEX(
  SCHEDULE!$A$1:$A$76,
   SMALL(
   IF(
    (ISNUMBER(SEARCH("█",SCHEDULE!BA$1:BA$76)))*
   ( (SCHEDULE!AZ$1:AZ$76=$B8)+(SCHEDULE!AZ$1:AZ$76=$C8)+(SCHEDULE!AZ$1:AZ$76=$D8)+(SCHEDULE!AZ$1:AZ$76=$E8)+(SCHEDULE!AZ$1:AZ$76=$F8)+ (SCHEDULE!BB$1:BB$76=$G8) ),
     ROW(SCHEDULE!CI$1:CI$76),
     ""
    ),COUNTIF($H$1:$H8,$H8)
  )
 ),"
Missing")</f>
        <v xml:space="preserve">
Missing</v>
      </c>
      <c r="BE8" s="210" t="str">
        <f t="array" ref="BE8">IFERROR(
 INDEX(
  SCHEDULE!$A$1:$A$76,
   SMALL(
   IF(
    (ISNUMBER(SEARCH("█",SCHEDULE!BB$1:BB$76)))*
   ( (SCHEDULE!BA$1:BA$76=$B8)+(SCHEDULE!BA$1:BA$76=$C8)+(SCHEDULE!BA$1:BA$76=$D8)+(SCHEDULE!BA$1:BA$76=$E8)+(SCHEDULE!BA$1:BA$76=$F8)+ (SCHEDULE!BC$1:BC$76=$G8) ),
     ROW(SCHEDULE!CJ$1:CJ$76),
     ""
    ),COUNTIF($H$1:$H8,$H8)
  )
 ),"
Missing")</f>
        <v>Paul Soares</v>
      </c>
    </row>
    <row r="9" spans="2:57" s="208" customFormat="1" x14ac:dyDescent="0.2">
      <c r="B9" s="206">
        <v>0.58333333333333337</v>
      </c>
      <c r="C9" s="206" t="s">
        <v>89</v>
      </c>
      <c r="D9" s="206">
        <v>0.5</v>
      </c>
      <c r="E9" s="206">
        <v>0.54166666666666663</v>
      </c>
      <c r="F9" s="206">
        <v>0.70833333333333337</v>
      </c>
      <c r="G9" s="206" t="s">
        <v>86</v>
      </c>
      <c r="H9" s="207" t="s">
        <v>104</v>
      </c>
      <c r="I9" s="210" t="s">
        <v>216</v>
      </c>
      <c r="J9" s="210" t="s">
        <v>216</v>
      </c>
      <c r="K9" s="210" t="s">
        <v>216</v>
      </c>
      <c r="L9" s="210" t="s">
        <v>216</v>
      </c>
      <c r="M9" s="210" t="s">
        <v>216</v>
      </c>
      <c r="N9" s="210" t="str">
        <f t="array" ref="N9">IFERROR(
 INDEX(
  SCHEDULE!$A$1:$A$76,
   SMALL(
   IF(
    (ISNUMBER(SEARCH("█",SCHEDULE!K$1:K$76)))*
   ( (SCHEDULE!J$1:J$76=$B9)+(SCHEDULE!J$1:J$76=$C9)+(SCHEDULE!J$1:J$76=$D9)+(SCHEDULE!J$1:J$76=$E9)+(SCHEDULE!J$1:J$76=$F9)+ (SCHEDULE!L$1:L$76=$G9) ),
     ROW(SCHEDULE!AS$1:AS$76),
     ""
    ),COUNTIF($H$1:$H9,$H9)
  )
 ),"
Missing")</f>
        <v xml:space="preserve">
Missing</v>
      </c>
      <c r="O9" s="210" t="str">
        <f t="array" ref="O9">IFERROR(
 INDEX(
  SCHEDULE!$A$1:$A$76,
   SMALL(
   IF(
    (ISNUMBER(SEARCH("█",SCHEDULE!L$1:L$76)))*
   ( (SCHEDULE!K$1:K$76=$B9)+(SCHEDULE!K$1:K$76=$C9)+(SCHEDULE!K$1:K$76=$D9)+(SCHEDULE!K$1:K$76=$E9)+(SCHEDULE!K$1:K$76=$F9)+ (SCHEDULE!M$1:M$76=$G9) ),
     ROW(SCHEDULE!AT$1:AT$76),
     ""
    ),COUNTIF($H$1:$H9,$H9)
  )
 ),"
Missing")</f>
        <v xml:space="preserve">
Missing</v>
      </c>
      <c r="P9" s="210" t="str">
        <f t="array" ref="P9">IFERROR(
 INDEX(
  SCHEDULE!$A$1:$A$76,
   SMALL(
   IF(
    (ISNUMBER(SEARCH("█",SCHEDULE!M$1:M$76)))*
   ( (SCHEDULE!L$1:L$76=$B9)+(SCHEDULE!L$1:L$76=$C9)+(SCHEDULE!L$1:L$76=$D9)+(SCHEDULE!L$1:L$76=$E9)+(SCHEDULE!L$1:L$76=$F9)+ (SCHEDULE!N$1:N$76=$G9) ),
     ROW(SCHEDULE!AU$1:AU$76),
     ""
    ),COUNTIF($H$1:$H9,$H9)
  )
 ),"
Missing")</f>
        <v>Taylor Stewart</v>
      </c>
      <c r="Q9" s="210" t="str">
        <f t="array" ref="Q9">IFERROR(
 INDEX(
  SCHEDULE!$A$1:$A$76,
   SMALL(
   IF(
    (ISNUMBER(SEARCH("█",SCHEDULE!N$1:N$76)))*
   ( (SCHEDULE!M$1:M$76=$B9)+(SCHEDULE!M$1:M$76=$C9)+(SCHEDULE!M$1:M$76=$D9)+(SCHEDULE!M$1:M$76=$E9)+(SCHEDULE!M$1:M$76=$F9)+ (SCHEDULE!O$1:O$76=$G9) ),
     ROW(SCHEDULE!AV$1:AV$76),
     ""
    ),COUNTIF($H$1:$H9,$H9)
  )
 ),"
Missing")</f>
        <v xml:space="preserve">
Missing</v>
      </c>
      <c r="R9" s="210" t="str">
        <f t="array" ref="R9">IFERROR(
 INDEX(
  SCHEDULE!$A$1:$A$76,
   SMALL(
   IF(
    (ISNUMBER(SEARCH("█",SCHEDULE!O$1:O$76)))*
   ( (SCHEDULE!N$1:N$76=$B9)+(SCHEDULE!N$1:N$76=$C9)+(SCHEDULE!N$1:N$76=$D9)+(SCHEDULE!N$1:N$76=$E9)+(SCHEDULE!N$1:N$76=$F9)+ (SCHEDULE!P$1:P$76=$G9) ),
     ROW(SCHEDULE!AW$1:AW$76),
     ""
    ),COUNTIF($H$1:$H9,$H9)
  )
 ),"
Missing")</f>
        <v xml:space="preserve">
Missing</v>
      </c>
      <c r="S9" s="210" t="str">
        <f t="array" ref="S9">IFERROR(
 INDEX(
  SCHEDULE!$A$1:$A$76,
   SMALL(
   IF(
    (ISNUMBER(SEARCH("█",SCHEDULE!P$1:P$76)))*
   ( (SCHEDULE!O$1:O$76=$B9)+(SCHEDULE!O$1:O$76=$C9)+(SCHEDULE!O$1:O$76=$D9)+(SCHEDULE!O$1:O$76=$E9)+(SCHEDULE!O$1:O$76=$F9)+ (SCHEDULE!Q$1:Q$76=$G9) ),
     ROW(SCHEDULE!AX$1:AX$76),
     ""
    ),COUNTIF($H$1:$H9,$H9)
  )
 ),"
Missing")</f>
        <v>Taylor Stewart</v>
      </c>
      <c r="T9" s="210" t="str">
        <f t="array" ref="T9">IFERROR(
 INDEX(
  SCHEDULE!$A$1:$A$76,
   SMALL(
   IF(
    (ISNUMBER(SEARCH("█",SCHEDULE!Q$1:Q$76)))*
   ( (SCHEDULE!P$1:P$76=$B9)+(SCHEDULE!P$1:P$76=$C9)+(SCHEDULE!P$1:P$76=$D9)+(SCHEDULE!P$1:P$76=$E9)+(SCHEDULE!P$1:P$76=$F9)+ (SCHEDULE!R$1:R$76=$G9) ),
     ROW(SCHEDULE!AY$1:AY$76),
     ""
    ),COUNTIF($H$1:$H9,$H9)
  )
 ),"
Missing")</f>
        <v xml:space="preserve">
Missing</v>
      </c>
      <c r="U9" s="210" t="str">
        <f t="array" ref="U9">IFERROR(
 INDEX(
  SCHEDULE!$A$1:$A$76,
   SMALL(
   IF(
    (ISNUMBER(SEARCH("█",SCHEDULE!R$1:R$76)))*
   ( (SCHEDULE!Q$1:Q$76=$B9)+(SCHEDULE!Q$1:Q$76=$C9)+(SCHEDULE!Q$1:Q$76=$D9)+(SCHEDULE!Q$1:Q$76=$E9)+(SCHEDULE!Q$1:Q$76=$F9)+ (SCHEDULE!S$1:S$76=$G9) ),
     ROW(SCHEDULE!AZ$1:AZ$76),
     ""
    ),COUNTIF($H$1:$H9,$H9)
  )
 ),"
Missing")</f>
        <v xml:space="preserve">
Missing</v>
      </c>
      <c r="V9" s="210" t="str">
        <f t="array" ref="V9">IFERROR(
 INDEX(
  SCHEDULE!$A$1:$A$76,
   SMALL(
   IF(
    (ISNUMBER(SEARCH("█",SCHEDULE!S$1:S$76)))*
   ( (SCHEDULE!R$1:R$76=$B9)+(SCHEDULE!R$1:R$76=$C9)+(SCHEDULE!R$1:R$76=$D9)+(SCHEDULE!R$1:R$76=$E9)+(SCHEDULE!R$1:R$76=$F9)+ (SCHEDULE!T$1:T$76=$G9) ),
     ROW(SCHEDULE!BA$1:BA$76),
     ""
    ),COUNTIF($H$1:$H9,$H9)
  )
 ),"
Missing")</f>
        <v>DJ Clements</v>
      </c>
      <c r="W9" s="210" t="str">
        <f t="array" ref="W9">IFERROR(
 INDEX(
  SCHEDULE!$A$1:$A$76,
   SMALL(
   IF(
    (ISNUMBER(SEARCH("█",SCHEDULE!T$1:T$76)))*
   ( (SCHEDULE!S$1:S$76=$B9)+(SCHEDULE!S$1:S$76=$C9)+(SCHEDULE!S$1:S$76=$D9)+(SCHEDULE!S$1:S$76=$E9)+(SCHEDULE!S$1:S$76=$F9)+ (SCHEDULE!U$1:U$76=$G9) ),
     ROW(SCHEDULE!BB$1:BB$76),
     ""
    ),COUNTIF($H$1:$H9,$H9)
  )
 ),"
Missing")</f>
        <v xml:space="preserve">
Missing</v>
      </c>
      <c r="X9" s="210" t="str">
        <f t="array" ref="X9">IFERROR(
 INDEX(
  SCHEDULE!$A$1:$A$76,
   SMALL(
   IF(
    (ISNUMBER(SEARCH("█",SCHEDULE!U$1:U$76)))*
   ( (SCHEDULE!T$1:T$76=$B9)+(SCHEDULE!T$1:T$76=$C9)+(SCHEDULE!T$1:T$76=$D9)+(SCHEDULE!T$1:T$76=$E9)+(SCHEDULE!T$1:T$76=$F9)+ (SCHEDULE!V$1:V$76=$G9) ),
     ROW(SCHEDULE!BC$1:BC$76),
     ""
    ),COUNTIF($H$1:$H9,$H9)
  )
 ),"
Missing")</f>
        <v xml:space="preserve">
Missing</v>
      </c>
      <c r="Y9" s="210" t="str">
        <f t="array" ref="Y9">IFERROR(
 INDEX(
  SCHEDULE!$A$1:$A$76,
   SMALL(
   IF(
    (ISNUMBER(SEARCH("█",SCHEDULE!V$1:V$76)))*
   ( (SCHEDULE!U$1:U$76=$B9)+(SCHEDULE!U$1:U$76=$C9)+(SCHEDULE!U$1:U$76=$D9)+(SCHEDULE!U$1:U$76=$E9)+(SCHEDULE!U$1:U$76=$F9)+ (SCHEDULE!W$1:W$76=$G9) ),
     ROW(SCHEDULE!BD$1:BD$76),
     ""
    ),COUNTIF($H$1:$H9,$H9)
  )
 ),"
Missing")</f>
        <v>DJ Clements</v>
      </c>
      <c r="Z9" s="210" t="str">
        <f t="array" ref="Z9">IFERROR(
 INDEX(
  SCHEDULE!$A$1:$A$76,
   SMALL(
   IF(
    (ISNUMBER(SEARCH("█",SCHEDULE!W$1:W$76)))*
   ( (SCHEDULE!V$1:V$76=$B9)+(SCHEDULE!V$1:V$76=$C9)+(SCHEDULE!V$1:V$76=$D9)+(SCHEDULE!V$1:V$76=$E9)+(SCHEDULE!V$1:V$76=$F9)+ (SCHEDULE!X$1:X$76=$G9) ),
     ROW(SCHEDULE!BE$1:BE$76),
     ""
    ),COUNTIF($H$1:$H9,$H9)
  )
 ),"
Missing")</f>
        <v xml:space="preserve">
Missing</v>
      </c>
      <c r="AA9" s="210" t="str">
        <f t="array" ref="AA9">IFERROR(
 INDEX(
  SCHEDULE!$A$1:$A$76,
   SMALL(
   IF(
    (ISNUMBER(SEARCH("█",SCHEDULE!X$1:X$76)))*
   ( (SCHEDULE!W$1:W$76=$B9)+(SCHEDULE!W$1:W$76=$C9)+(SCHEDULE!W$1:W$76=$D9)+(SCHEDULE!W$1:W$76=$E9)+(SCHEDULE!W$1:W$76=$F9)+ (SCHEDULE!Y$1:Y$76=$G9) ),
     ROW(SCHEDULE!BF$1:BF$76),
     ""
    ),COUNTIF($H$1:$H9,$H9)
  )
 ),"
Missing")</f>
        <v xml:space="preserve">
Missing</v>
      </c>
      <c r="AB9" s="210" t="str">
        <f t="array" ref="AB9">IFERROR(
 INDEX(
  SCHEDULE!$A$1:$A$76,
   SMALL(
   IF(
    (ISNUMBER(SEARCH("█",SCHEDULE!Y$1:Y$76)))*
   ( (SCHEDULE!X$1:X$76=$B9)+(SCHEDULE!X$1:X$76=$C9)+(SCHEDULE!X$1:X$76=$D9)+(SCHEDULE!X$1:X$76=$E9)+(SCHEDULE!X$1:X$76=$F9)+ (SCHEDULE!Z$1:Z$76=$G9) ),
     ROW(SCHEDULE!BG$1:BG$76),
     ""
    ),COUNTIF($H$1:$H9,$H9)
  )
 ),"
Missing")</f>
        <v>Taylor Stewart</v>
      </c>
      <c r="AC9" s="210" t="str">
        <f t="array" ref="AC9">IFERROR(
 INDEX(
  SCHEDULE!$A$1:$A$76,
   SMALL(
   IF(
    (ISNUMBER(SEARCH("█",SCHEDULE!Z$1:Z$76)))*
   ( (SCHEDULE!Y$1:Y$76=$B9)+(SCHEDULE!Y$1:Y$76=$C9)+(SCHEDULE!Y$1:Y$76=$D9)+(SCHEDULE!Y$1:Y$76=$E9)+(SCHEDULE!Y$1:Y$76=$F9)+ (SCHEDULE!AA$1:AA$76=$G9) ),
     ROW(SCHEDULE!BH$1:BH$76),
     ""
    ),COUNTIF($H$1:$H9,$H9)
  )
 ),"
Missing")</f>
        <v xml:space="preserve">
Missing</v>
      </c>
      <c r="AD9" s="210" t="str">
        <f t="array" ref="AD9">IFERROR(
 INDEX(
  SCHEDULE!$A$1:$A$76,
   SMALL(
   IF(
    (ISNUMBER(SEARCH("█",SCHEDULE!AA$1:AA$76)))*
   ( (SCHEDULE!Z$1:Z$76=$B9)+(SCHEDULE!Z$1:Z$76=$C9)+(SCHEDULE!Z$1:Z$76=$D9)+(SCHEDULE!Z$1:Z$76=$E9)+(SCHEDULE!Z$1:Z$76=$F9)+ (SCHEDULE!AB$1:AB$76=$G9) ),
     ROW(SCHEDULE!BI$1:BI$76),
     ""
    ),COUNTIF($H$1:$H9,$H9)
  )
 ),"
Missing")</f>
        <v xml:space="preserve">
Missing</v>
      </c>
      <c r="AE9" s="210" t="s">
        <v>216</v>
      </c>
      <c r="AF9" s="210" t="s">
        <v>216</v>
      </c>
      <c r="AG9" s="210" t="s">
        <v>216</v>
      </c>
      <c r="AH9" s="210" t="s">
        <v>216</v>
      </c>
      <c r="AI9" s="210" t="s">
        <v>216</v>
      </c>
      <c r="AJ9" s="210" t="str">
        <f t="array" ref="AJ9">IFERROR(
 INDEX(
  SCHEDULE!$A$1:$A$76,
   SMALL(
   IF(
    (ISNUMBER(SEARCH("█",SCHEDULE!AG$1:AG$76)))*
   ( (SCHEDULE!AF$1:AF$76=$B9)+(SCHEDULE!AF$1:AF$76=$C9)+(SCHEDULE!AF$1:AF$76=$D9)+(SCHEDULE!AF$1:AF$76=$E9)+(SCHEDULE!AF$1:AF$76=$F9)+ (SCHEDULE!AH$1:AH$76=$G9) ),
     ROW(SCHEDULE!BO$1:BO$76),
     ""
    ),COUNTIF($H$1:$H9,$H9)
  )
 ),"
Missing")</f>
        <v xml:space="preserve">
Missing</v>
      </c>
      <c r="AK9" s="210" t="str">
        <f t="array" ref="AK9">IFERROR(
 INDEX(
  SCHEDULE!$A$1:$A$76,
   SMALL(
   IF(
    (ISNUMBER(SEARCH("█",SCHEDULE!AH$1:AH$76)))*
   ( (SCHEDULE!AG$1:AG$76=$B9)+(SCHEDULE!AG$1:AG$76=$C9)+(SCHEDULE!AG$1:AG$76=$D9)+(SCHEDULE!AG$1:AG$76=$E9)+(SCHEDULE!AG$1:AG$76=$F9)+ (SCHEDULE!AI$1:AI$76=$G9) ),
     ROW(SCHEDULE!BP$1:BP$76),
     ""
    ),COUNTIF($H$1:$H9,$H9)
  )
 ),"
Missing")</f>
        <v xml:space="preserve">
Missing</v>
      </c>
      <c r="AL9" s="210" t="str">
        <f t="array" ref="AL9">IFERROR(
 INDEX(
  SCHEDULE!$A$1:$A$76,
   SMALL(
   IF(
    (ISNUMBER(SEARCH("█",SCHEDULE!AI$1:AI$76)))*
   ( (SCHEDULE!AH$1:AH$76=$B9)+(SCHEDULE!AH$1:AH$76=$C9)+(SCHEDULE!AH$1:AH$76=$D9)+(SCHEDULE!AH$1:AH$76=$E9)+(SCHEDULE!AH$1:AH$76=$F9)+ (SCHEDULE!AJ$1:AJ$76=$G9) ),
     ROW(SCHEDULE!BQ$1:BQ$76),
     ""
    ),COUNTIF($H$1:$H9,$H9)
  )
 ),"
Missing")</f>
        <v>Taylor Stewart</v>
      </c>
      <c r="AM9" s="210" t="str">
        <f t="array" ref="AM9">IFERROR(
 INDEX(
  SCHEDULE!$A$1:$A$76,
   SMALL(
   IF(
    (ISNUMBER(SEARCH("█",SCHEDULE!AJ$1:AJ$76)))*
   ( (SCHEDULE!AI$1:AI$76=$B9)+(SCHEDULE!AI$1:AI$76=$C9)+(SCHEDULE!AI$1:AI$76=$D9)+(SCHEDULE!AI$1:AI$76=$E9)+(SCHEDULE!AI$1:AI$76=$F9)+ (SCHEDULE!AK$1:AK$76=$G9) ),
     ROW(SCHEDULE!BR$1:BR$76),
     ""
    ),COUNTIF($H$1:$H9,$H9)
  )
 ),"
Missing")</f>
        <v xml:space="preserve">
Missing</v>
      </c>
      <c r="AN9" s="210" t="str">
        <f t="array" ref="AN9">IFERROR(
 INDEX(
  SCHEDULE!$A$1:$A$76,
   SMALL(
   IF(
    (ISNUMBER(SEARCH("█",SCHEDULE!AK$1:AK$76)))*
   ( (SCHEDULE!AJ$1:AJ$76=$B9)+(SCHEDULE!AJ$1:AJ$76=$C9)+(SCHEDULE!AJ$1:AJ$76=$D9)+(SCHEDULE!AJ$1:AJ$76=$E9)+(SCHEDULE!AJ$1:AJ$76=$F9)+ (SCHEDULE!AL$1:AL$76=$G9) ),
     ROW(SCHEDULE!BS$1:BS$76),
     ""
    ),COUNTIF($H$1:$H9,$H9)
  )
 ),"
Missing")</f>
        <v xml:space="preserve">
Missing</v>
      </c>
      <c r="AO9" s="210" t="str">
        <f t="array" ref="AO9">IFERROR(
 INDEX(
  SCHEDULE!$A$1:$A$76,
   SMALL(
   IF(
    (ISNUMBER(SEARCH("█",SCHEDULE!AL$1:AL$76)))*
   ( (SCHEDULE!AK$1:AK$76=$B9)+(SCHEDULE!AK$1:AK$76=$C9)+(SCHEDULE!AK$1:AK$76=$D9)+(SCHEDULE!AK$1:AK$76=$E9)+(SCHEDULE!AK$1:AK$76=$F9)+ (SCHEDULE!AM$1:AM$76=$G9) ),
     ROW(SCHEDULE!BT$1:BT$76),
     ""
    ),COUNTIF($H$1:$H9,$H9)
  )
 ),"
Missing")</f>
        <v>Taylor Stewart</v>
      </c>
      <c r="AP9" s="210" t="str">
        <f t="array" ref="AP9">IFERROR(
 INDEX(
  SCHEDULE!$A$1:$A$76,
   SMALL(
   IF(
    (ISNUMBER(SEARCH("█",SCHEDULE!AM$1:AM$76)))*
   ( (SCHEDULE!AL$1:AL$76=$B9)+(SCHEDULE!AL$1:AL$76=$C9)+(SCHEDULE!AL$1:AL$76=$D9)+(SCHEDULE!AL$1:AL$76=$E9)+(SCHEDULE!AL$1:AL$76=$F9)+ (SCHEDULE!AN$1:AN$76=$G9) ),
     ROW(SCHEDULE!BU$1:BU$76),
     ""
    ),COUNTIF($H$1:$H9,$H9)
  )
 ),"
Missing")</f>
        <v xml:space="preserve">
Missing</v>
      </c>
      <c r="AQ9" s="210" t="str">
        <f t="array" ref="AQ9">IFERROR(
 INDEX(
  SCHEDULE!$A$1:$A$76,
   SMALL(
   IF(
    (ISNUMBER(SEARCH("█",SCHEDULE!AN$1:AN$76)))*
   ( (SCHEDULE!AM$1:AM$76=$B9)+(SCHEDULE!AM$1:AM$76=$C9)+(SCHEDULE!AM$1:AM$76=$D9)+(SCHEDULE!AM$1:AM$76=$E9)+(SCHEDULE!AM$1:AM$76=$F9)+ (SCHEDULE!AO$1:AO$76=$G9) ),
     ROW(SCHEDULE!BV$1:BV$76),
     ""
    ),COUNTIF($H$1:$H9,$H9)
  )
 ),"
Missing")</f>
        <v xml:space="preserve">
Missing</v>
      </c>
      <c r="AR9" s="210" t="str">
        <f t="array" ref="AR9">IFERROR(
 INDEX(
  SCHEDULE!$A$1:$A$76,
   SMALL(
   IF(
    (ISNUMBER(SEARCH("█",SCHEDULE!AO$1:AO$76)))*
   ( (SCHEDULE!AN$1:AN$76=$B9)+(SCHEDULE!AN$1:AN$76=$C9)+(SCHEDULE!AN$1:AN$76=$D9)+(SCHEDULE!AN$1:AN$76=$E9)+(SCHEDULE!AN$1:AN$76=$F9)+ (SCHEDULE!AP$1:AP$76=$G9) ),
     ROW(SCHEDULE!BW$1:BW$76),
     ""
    ),COUNTIF($H$1:$H9,$H9)
  )
 ),"
Missing")</f>
        <v>Taylor Stewart</v>
      </c>
      <c r="AS9" s="210" t="str">
        <f t="array" ref="AS9">IFERROR(
 INDEX(
  SCHEDULE!$A$1:$A$76,
   SMALL(
   IF(
    (ISNUMBER(SEARCH("█",SCHEDULE!AP$1:AP$76)))*
   ( (SCHEDULE!AO$1:AO$76=$B9)+(SCHEDULE!AO$1:AO$76=$C9)+(SCHEDULE!AO$1:AO$76=$D9)+(SCHEDULE!AO$1:AO$76=$E9)+(SCHEDULE!AO$1:AO$76=$F9)+ (SCHEDULE!AQ$1:AQ$76=$G9) ),
     ROW(SCHEDULE!BX$1:BX$76),
     ""
    ),COUNTIF($H$1:$H9,$H9)
  )
 ),"
Missing")</f>
        <v xml:space="preserve">
Missing</v>
      </c>
      <c r="AT9" s="210" t="str">
        <f t="array" ref="AT9">IFERROR(
 INDEX(
  SCHEDULE!$A$1:$A$76,
   SMALL(
   IF(
    (ISNUMBER(SEARCH("█",SCHEDULE!AQ$1:AQ$76)))*
   ( (SCHEDULE!AP$1:AP$76=$B9)+(SCHEDULE!AP$1:AP$76=$C9)+(SCHEDULE!AP$1:AP$76=$D9)+(SCHEDULE!AP$1:AP$76=$E9)+(SCHEDULE!AP$1:AP$76=$F9)+ (SCHEDULE!AR$1:AR$76=$G9) ),
     ROW(SCHEDULE!BY$1:BY$76),
     ""
    ),COUNTIF($H$1:$H9,$H9)
  )
 ),"
Missing")</f>
        <v xml:space="preserve">
Missing</v>
      </c>
      <c r="AU9" s="210" t="str">
        <f t="array" ref="AU9">IFERROR(
 INDEX(
  SCHEDULE!$A$1:$A$76,
   SMALL(
   IF(
    (ISNUMBER(SEARCH("█",SCHEDULE!AR$1:AR$76)))*
   ( (SCHEDULE!AQ$1:AQ$76=$B9)+(SCHEDULE!AQ$1:AQ$76=$C9)+(SCHEDULE!AQ$1:AQ$76=$D9)+(SCHEDULE!AQ$1:AQ$76=$E9)+(SCHEDULE!AQ$1:AQ$76=$F9)+ (SCHEDULE!AS$1:AS$76=$G9) ),
     ROW(SCHEDULE!BZ$1:BZ$76),
     ""
    ),COUNTIF($H$1:$H9,$H9)
  )
 ),"
Missing")</f>
        <v>Taylor Stewart</v>
      </c>
      <c r="AV9" s="210" t="str">
        <f t="array" ref="AV9">IFERROR(
 INDEX(
  SCHEDULE!$A$1:$A$76,
   SMALL(
   IF(
    (ISNUMBER(SEARCH("█",SCHEDULE!AS$1:AS$76)))*
   ( (SCHEDULE!AR$1:AR$76=$B9)+(SCHEDULE!AR$1:AR$76=$C9)+(SCHEDULE!AR$1:AR$76=$D9)+(SCHEDULE!AR$1:AR$76=$E9)+(SCHEDULE!AR$1:AR$76=$F9)+ (SCHEDULE!AT$1:AT$76=$G9) ),
     ROW(SCHEDULE!CA$1:CA$76),
     ""
    ),COUNTIF($H$1:$H9,$H9)
  )
 ),"
Missing")</f>
        <v xml:space="preserve">
Missing</v>
      </c>
      <c r="AW9" s="210" t="str">
        <f t="array" ref="AW9">IFERROR(
 INDEX(
  SCHEDULE!$A$1:$A$76,
   SMALL(
   IF(
    (ISNUMBER(SEARCH("█",SCHEDULE!AT$1:AT$76)))*
   ( (SCHEDULE!AS$1:AS$76=$B9)+(SCHEDULE!AS$1:AS$76=$C9)+(SCHEDULE!AS$1:AS$76=$D9)+(SCHEDULE!AS$1:AS$76=$E9)+(SCHEDULE!AS$1:AS$76=$F9)+ (SCHEDULE!AU$1:AU$76=$G9) ),
     ROW(SCHEDULE!CB$1:CB$76),
     ""
    ),COUNTIF($H$1:$H9,$H9)
  )
 ),"
Missing")</f>
        <v xml:space="preserve">
Missing</v>
      </c>
      <c r="AX9" s="210" t="str">
        <f t="array" ref="AX9">IFERROR(
 INDEX(
  SCHEDULE!$A$1:$A$76,
   SMALL(
   IF(
    (ISNUMBER(SEARCH("█",SCHEDULE!AU$1:AU$76)))*
   ( (SCHEDULE!AT$1:AT$76=$B9)+(SCHEDULE!AT$1:AT$76=$C9)+(SCHEDULE!AT$1:AT$76=$D9)+(SCHEDULE!AT$1:AT$76=$E9)+(SCHEDULE!AT$1:AT$76=$F9)+ (SCHEDULE!AV$1:AV$76=$G9) ),
     ROW(SCHEDULE!CC$1:CC$76),
     ""
    ),COUNTIF($H$1:$H9,$H9)
  )
 ),"
Missing")</f>
        <v>Taylor Stewart</v>
      </c>
      <c r="AY9" s="210" t="str">
        <f t="array" ref="AY9">IFERROR(
 INDEX(
  SCHEDULE!$A$1:$A$76,
   SMALL(
   IF(
    (ISNUMBER(SEARCH("█",SCHEDULE!AV$1:AV$76)))*
   ( (SCHEDULE!AU$1:AU$76=$B9)+(SCHEDULE!AU$1:AU$76=$C9)+(SCHEDULE!AU$1:AU$76=$D9)+(SCHEDULE!AU$1:AU$76=$E9)+(SCHEDULE!AU$1:AU$76=$F9)+ (SCHEDULE!AW$1:AW$76=$G9) ),
     ROW(SCHEDULE!CD$1:CD$76),
     ""
    ),COUNTIF($H$1:$H9,$H9)
  )
 ),"
Missing")</f>
        <v xml:space="preserve">
Missing</v>
      </c>
      <c r="AZ9" s="210" t="str">
        <f t="array" ref="AZ9">IFERROR(
 INDEX(
  SCHEDULE!$A$1:$A$76,
   SMALL(
   IF(
    (ISNUMBER(SEARCH("█",SCHEDULE!AW$1:AW$76)))*
   ( (SCHEDULE!AV$1:AV$76=$B9)+(SCHEDULE!AV$1:AV$76=$C9)+(SCHEDULE!AV$1:AV$76=$D9)+(SCHEDULE!AV$1:AV$76=$E9)+(SCHEDULE!AV$1:AV$76=$F9)+ (SCHEDULE!AX$1:AX$76=$G9) ),
     ROW(SCHEDULE!CE$1:CE$76),
     ""
    ),COUNTIF($H$1:$H9,$H9)
  )
 ),"
Missing")</f>
        <v xml:space="preserve">
Missing</v>
      </c>
      <c r="BA9" s="210" t="s">
        <v>216</v>
      </c>
      <c r="BB9" s="210" t="s">
        <v>216</v>
      </c>
      <c r="BC9" s="210" t="s">
        <v>216</v>
      </c>
      <c r="BD9" s="210" t="s">
        <v>216</v>
      </c>
      <c r="BE9" s="210" t="s">
        <v>216</v>
      </c>
    </row>
    <row r="10" spans="2:57" s="208" customFormat="1" x14ac:dyDescent="0.2">
      <c r="B10" s="206">
        <v>0.58333333333333337</v>
      </c>
      <c r="C10" s="206" t="s">
        <v>89</v>
      </c>
      <c r="D10" s="206">
        <v>0.5</v>
      </c>
      <c r="E10" s="206">
        <v>0.54166666666666663</v>
      </c>
      <c r="F10" s="206">
        <v>0.70833333333333337</v>
      </c>
      <c r="G10" s="206" t="s">
        <v>86</v>
      </c>
      <c r="H10" s="207" t="s">
        <v>104</v>
      </c>
      <c r="I10" s="210" t="s">
        <v>216</v>
      </c>
      <c r="J10" s="210" t="s">
        <v>216</v>
      </c>
      <c r="K10" s="210" t="s">
        <v>216</v>
      </c>
      <c r="L10" s="210" t="s">
        <v>216</v>
      </c>
      <c r="M10" s="210" t="s">
        <v>216</v>
      </c>
      <c r="N10" s="210" t="str">
        <f t="array" ref="N10">IFERROR(
 INDEX(
  SCHEDULE!$A$1:$A$76,
   SMALL(
   IF(
    (ISNUMBER(SEARCH("█",SCHEDULE!K$1:K$76)))*
   ( (SCHEDULE!J$1:J$76=$B10)+(SCHEDULE!J$1:J$76=$C10)+(SCHEDULE!J$1:J$76=$D10)+(SCHEDULE!J$1:J$76=$E10)+(SCHEDULE!J$1:J$76=$F10)+ (SCHEDULE!L$1:L$76=$G10) ),
     ROW(SCHEDULE!AS$1:AS$76),
     ""
    ),COUNTIF($H$1:$H10,$H10)
  )
 ),"
Missing")</f>
        <v xml:space="preserve">
Missing</v>
      </c>
      <c r="O10" s="210" t="str">
        <f t="array" ref="O10">IFERROR(
 INDEX(
  SCHEDULE!$A$1:$A$76,
   SMALL(
   IF(
    (ISNUMBER(SEARCH("█",SCHEDULE!L$1:L$76)))*
   ( (SCHEDULE!K$1:K$76=$B10)+(SCHEDULE!K$1:K$76=$C10)+(SCHEDULE!K$1:K$76=$D10)+(SCHEDULE!K$1:K$76=$E10)+(SCHEDULE!K$1:K$76=$F10)+ (SCHEDULE!M$1:M$76=$G10) ),
     ROW(SCHEDULE!AT$1:AT$76),
     ""
    ),COUNTIF($H$1:$H10,$H10)
  )
 ),"
Missing")</f>
        <v xml:space="preserve">
Missing</v>
      </c>
      <c r="P10" s="210" t="str">
        <f t="array" ref="P10">IFERROR(
 INDEX(
  SCHEDULE!$A$1:$A$76,
   SMALL(
   IF(
    (ISNUMBER(SEARCH("█",SCHEDULE!M$1:M$76)))*
   ( (SCHEDULE!L$1:L$76=$B10)+(SCHEDULE!L$1:L$76=$C10)+(SCHEDULE!L$1:L$76=$D10)+(SCHEDULE!L$1:L$76=$E10)+(SCHEDULE!L$1:L$76=$F10)+ (SCHEDULE!N$1:N$76=$G10) ),
     ROW(SCHEDULE!AU$1:AU$76),
     ""
    ),COUNTIF($H$1:$H10,$H10)
  )
 ),"
Missing")</f>
        <v xml:space="preserve">
Missing</v>
      </c>
      <c r="Q10" s="210" t="str">
        <f t="array" ref="Q10">IFERROR(
 INDEX(
  SCHEDULE!$A$1:$A$76,
   SMALL(
   IF(
    (ISNUMBER(SEARCH("█",SCHEDULE!N$1:N$76)))*
   ( (SCHEDULE!M$1:M$76=$B10)+(SCHEDULE!M$1:M$76=$C10)+(SCHEDULE!M$1:M$76=$D10)+(SCHEDULE!M$1:M$76=$E10)+(SCHEDULE!M$1:M$76=$F10)+ (SCHEDULE!O$1:O$76=$G10) ),
     ROW(SCHEDULE!AV$1:AV$76),
     ""
    ),COUNTIF($H$1:$H10,$H10)
  )
 ),"
Missing")</f>
        <v xml:space="preserve">
Missing</v>
      </c>
      <c r="R10" s="210" t="str">
        <f t="array" ref="R10">IFERROR(
 INDEX(
  SCHEDULE!$A$1:$A$76,
   SMALL(
   IF(
    (ISNUMBER(SEARCH("█",SCHEDULE!O$1:O$76)))*
   ( (SCHEDULE!N$1:N$76=$B10)+(SCHEDULE!N$1:N$76=$C10)+(SCHEDULE!N$1:N$76=$D10)+(SCHEDULE!N$1:N$76=$E10)+(SCHEDULE!N$1:N$76=$F10)+ (SCHEDULE!P$1:P$76=$G10) ),
     ROW(SCHEDULE!AW$1:AW$76),
     ""
    ),COUNTIF($H$1:$H10,$H10)
  )
 ),"
Missing")</f>
        <v xml:space="preserve">
Missing</v>
      </c>
      <c r="S10" s="210" t="str">
        <f t="array" ref="S10">IFERROR(
 INDEX(
  SCHEDULE!$A$1:$A$76,
   SMALL(
   IF(
    (ISNUMBER(SEARCH("█",SCHEDULE!P$1:P$76)))*
   ( (SCHEDULE!O$1:O$76=$B10)+(SCHEDULE!O$1:O$76=$C10)+(SCHEDULE!O$1:O$76=$D10)+(SCHEDULE!O$1:O$76=$E10)+(SCHEDULE!O$1:O$76=$F10)+ (SCHEDULE!Q$1:Q$76=$G10) ),
     ROW(SCHEDULE!AX$1:AX$76),
     ""
    ),COUNTIF($H$1:$H10,$H10)
  )
 ),"
Missing")</f>
        <v xml:space="preserve">
Missing</v>
      </c>
      <c r="T10" s="210" t="str">
        <f t="array" ref="T10">IFERROR(
 INDEX(
  SCHEDULE!$A$1:$A$76,
   SMALL(
   IF(
    (ISNUMBER(SEARCH("█",SCHEDULE!Q$1:Q$76)))*
   ( (SCHEDULE!P$1:P$76=$B10)+(SCHEDULE!P$1:P$76=$C10)+(SCHEDULE!P$1:P$76=$D10)+(SCHEDULE!P$1:P$76=$E10)+(SCHEDULE!P$1:P$76=$F10)+ (SCHEDULE!R$1:R$76=$G10) ),
     ROW(SCHEDULE!AY$1:AY$76),
     ""
    ),COUNTIF($H$1:$H10,$H10)
  )
 ),"
Missing")</f>
        <v xml:space="preserve">
Missing</v>
      </c>
      <c r="U10" s="210" t="str">
        <f t="array" ref="U10">IFERROR(
 INDEX(
  SCHEDULE!$A$1:$A$76,
   SMALL(
   IF(
    (ISNUMBER(SEARCH("█",SCHEDULE!R$1:R$76)))*
   ( (SCHEDULE!Q$1:Q$76=$B10)+(SCHEDULE!Q$1:Q$76=$C10)+(SCHEDULE!Q$1:Q$76=$D10)+(SCHEDULE!Q$1:Q$76=$E10)+(SCHEDULE!Q$1:Q$76=$F10)+ (SCHEDULE!S$1:S$76=$G10) ),
     ROW(SCHEDULE!AZ$1:AZ$76),
     ""
    ),COUNTIF($H$1:$H10,$H10)
  )
 ),"
Missing")</f>
        <v xml:space="preserve">
Missing</v>
      </c>
      <c r="V10" s="210" t="str">
        <f t="array" ref="V10">IFERROR(
 INDEX(
  SCHEDULE!$A$1:$A$76,
   SMALL(
   IF(
    (ISNUMBER(SEARCH("█",SCHEDULE!S$1:S$76)))*
   ( (SCHEDULE!R$1:R$76=$B10)+(SCHEDULE!R$1:R$76=$C10)+(SCHEDULE!R$1:R$76=$D10)+(SCHEDULE!R$1:R$76=$E10)+(SCHEDULE!R$1:R$76=$F10)+ (SCHEDULE!T$1:T$76=$G10) ),
     ROW(SCHEDULE!BA$1:BA$76),
     ""
    ),COUNTIF($H$1:$H10,$H10)
  )
 ),"
Missing")</f>
        <v xml:space="preserve">
Missing</v>
      </c>
      <c r="W10" s="210" t="str">
        <f t="array" ref="W10">IFERROR(
 INDEX(
  SCHEDULE!$A$1:$A$76,
   SMALL(
   IF(
    (ISNUMBER(SEARCH("█",SCHEDULE!T$1:T$76)))*
   ( (SCHEDULE!S$1:S$76=$B10)+(SCHEDULE!S$1:S$76=$C10)+(SCHEDULE!S$1:S$76=$D10)+(SCHEDULE!S$1:S$76=$E10)+(SCHEDULE!S$1:S$76=$F10)+ (SCHEDULE!U$1:U$76=$G10) ),
     ROW(SCHEDULE!BB$1:BB$76),
     ""
    ),COUNTIF($H$1:$H10,$H10)
  )
 ),"
Missing")</f>
        <v xml:space="preserve">
Missing</v>
      </c>
      <c r="X10" s="210" t="str">
        <f t="array" ref="X10">IFERROR(
 INDEX(
  SCHEDULE!$A$1:$A$76,
   SMALL(
   IF(
    (ISNUMBER(SEARCH("█",SCHEDULE!U$1:U$76)))*
   ( (SCHEDULE!T$1:T$76=$B10)+(SCHEDULE!T$1:T$76=$C10)+(SCHEDULE!T$1:T$76=$D10)+(SCHEDULE!T$1:T$76=$E10)+(SCHEDULE!T$1:T$76=$F10)+ (SCHEDULE!V$1:V$76=$G10) ),
     ROW(SCHEDULE!BC$1:BC$76),
     ""
    ),COUNTIF($H$1:$H10,$H10)
  )
 ),"
Missing")</f>
        <v xml:space="preserve">
Missing</v>
      </c>
      <c r="Y10" s="210" t="str">
        <f t="array" ref="Y10">IFERROR(
 INDEX(
  SCHEDULE!$A$1:$A$76,
   SMALL(
   IF(
    (ISNUMBER(SEARCH("█",SCHEDULE!V$1:V$76)))*
   ( (SCHEDULE!U$1:U$76=$B10)+(SCHEDULE!U$1:U$76=$C10)+(SCHEDULE!U$1:U$76=$D10)+(SCHEDULE!U$1:U$76=$E10)+(SCHEDULE!U$1:U$76=$F10)+ (SCHEDULE!W$1:W$76=$G10) ),
     ROW(SCHEDULE!BD$1:BD$76),
     ""
    ),COUNTIF($H$1:$H10,$H10)
  )
 ),"
Missing")</f>
        <v xml:space="preserve">
Missing</v>
      </c>
      <c r="Z10" s="210" t="str">
        <f t="array" ref="Z10">IFERROR(
 INDEX(
  SCHEDULE!$A$1:$A$76,
   SMALL(
   IF(
    (ISNUMBER(SEARCH("█",SCHEDULE!W$1:W$76)))*
   ( (SCHEDULE!V$1:V$76=$B10)+(SCHEDULE!V$1:V$76=$C10)+(SCHEDULE!V$1:V$76=$D10)+(SCHEDULE!V$1:V$76=$E10)+(SCHEDULE!V$1:V$76=$F10)+ (SCHEDULE!X$1:X$76=$G10) ),
     ROW(SCHEDULE!BE$1:BE$76),
     ""
    ),COUNTIF($H$1:$H10,$H10)
  )
 ),"
Missing")</f>
        <v xml:space="preserve">
Missing</v>
      </c>
      <c r="AA10" s="210" t="str">
        <f t="array" ref="AA10">IFERROR(
 INDEX(
  SCHEDULE!$A$1:$A$76,
   SMALL(
   IF(
    (ISNUMBER(SEARCH("█",SCHEDULE!X$1:X$76)))*
   ( (SCHEDULE!W$1:W$76=$B10)+(SCHEDULE!W$1:W$76=$C10)+(SCHEDULE!W$1:W$76=$D10)+(SCHEDULE!W$1:W$76=$E10)+(SCHEDULE!W$1:W$76=$F10)+ (SCHEDULE!Y$1:Y$76=$G10) ),
     ROW(SCHEDULE!BF$1:BF$76),
     ""
    ),COUNTIF($H$1:$H10,$H10)
  )
 ),"
Missing")</f>
        <v xml:space="preserve">
Missing</v>
      </c>
      <c r="AB10" s="210" t="str">
        <f t="array" ref="AB10">IFERROR(
 INDEX(
  SCHEDULE!$A$1:$A$76,
   SMALL(
   IF(
    (ISNUMBER(SEARCH("█",SCHEDULE!Y$1:Y$76)))*
   ( (SCHEDULE!X$1:X$76=$B10)+(SCHEDULE!X$1:X$76=$C10)+(SCHEDULE!X$1:X$76=$D10)+(SCHEDULE!X$1:X$76=$E10)+(SCHEDULE!X$1:X$76=$F10)+ (SCHEDULE!Z$1:Z$76=$G10) ),
     ROW(SCHEDULE!BG$1:BG$76),
     ""
    ),COUNTIF($H$1:$H10,$H10)
  )
 ),"
Missing")</f>
        <v xml:space="preserve">
Missing</v>
      </c>
      <c r="AC10" s="210" t="str">
        <f t="array" ref="AC10">IFERROR(
 INDEX(
  SCHEDULE!$A$1:$A$76,
   SMALL(
   IF(
    (ISNUMBER(SEARCH("█",SCHEDULE!Z$1:Z$76)))*
   ( (SCHEDULE!Y$1:Y$76=$B10)+(SCHEDULE!Y$1:Y$76=$C10)+(SCHEDULE!Y$1:Y$76=$D10)+(SCHEDULE!Y$1:Y$76=$E10)+(SCHEDULE!Y$1:Y$76=$F10)+ (SCHEDULE!AA$1:AA$76=$G10) ),
     ROW(SCHEDULE!BH$1:BH$76),
     ""
    ),COUNTIF($H$1:$H10,$H10)
  )
 ),"
Missing")</f>
        <v xml:space="preserve">
Missing</v>
      </c>
      <c r="AD10" s="210" t="str">
        <f t="array" ref="AD10">IFERROR(
 INDEX(
  SCHEDULE!$A$1:$A$76,
   SMALL(
   IF(
    (ISNUMBER(SEARCH("█",SCHEDULE!AA$1:AA$76)))*
   ( (SCHEDULE!Z$1:Z$76=$B10)+(SCHEDULE!Z$1:Z$76=$C10)+(SCHEDULE!Z$1:Z$76=$D10)+(SCHEDULE!Z$1:Z$76=$E10)+(SCHEDULE!Z$1:Z$76=$F10)+ (SCHEDULE!AB$1:AB$76=$G10) ),
     ROW(SCHEDULE!BI$1:BI$76),
     ""
    ),COUNTIF($H$1:$H10,$H10)
  )
 ),"
Missing")</f>
        <v xml:space="preserve">
Missing</v>
      </c>
      <c r="AE10" s="210" t="s">
        <v>216</v>
      </c>
      <c r="AF10" s="210" t="s">
        <v>216</v>
      </c>
      <c r="AG10" s="210" t="s">
        <v>216</v>
      </c>
      <c r="AH10" s="210" t="s">
        <v>216</v>
      </c>
      <c r="AI10" s="210" t="s">
        <v>216</v>
      </c>
      <c r="AJ10" s="210" t="str">
        <f t="array" ref="AJ10">IFERROR(
 INDEX(
  SCHEDULE!$A$1:$A$76,
   SMALL(
   IF(
    (ISNUMBER(SEARCH("█",SCHEDULE!AG$1:AG$76)))*
   ( (SCHEDULE!AF$1:AF$76=$B10)+(SCHEDULE!AF$1:AF$76=$C10)+(SCHEDULE!AF$1:AF$76=$D10)+(SCHEDULE!AF$1:AF$76=$E10)+(SCHEDULE!AF$1:AF$76=$F10)+ (SCHEDULE!AH$1:AH$76=$G10) ),
     ROW(SCHEDULE!BO$1:BO$76),
     ""
    ),COUNTIF($H$1:$H10,$H10)
  )
 ),"
Missing")</f>
        <v xml:space="preserve">
Missing</v>
      </c>
      <c r="AK10" s="210" t="str">
        <f t="array" ref="AK10">IFERROR(
 INDEX(
  SCHEDULE!$A$1:$A$76,
   SMALL(
   IF(
    (ISNUMBER(SEARCH("█",SCHEDULE!AH$1:AH$76)))*
   ( (SCHEDULE!AG$1:AG$76=$B10)+(SCHEDULE!AG$1:AG$76=$C10)+(SCHEDULE!AG$1:AG$76=$D10)+(SCHEDULE!AG$1:AG$76=$E10)+(SCHEDULE!AG$1:AG$76=$F10)+ (SCHEDULE!AI$1:AI$76=$G10) ),
     ROW(SCHEDULE!BP$1:BP$76),
     ""
    ),COUNTIF($H$1:$H10,$H10)
  )
 ),"
Missing")</f>
        <v xml:space="preserve">
Missing</v>
      </c>
      <c r="AL10" s="210" t="str">
        <f t="array" ref="AL10">IFERROR(
 INDEX(
  SCHEDULE!$A$1:$A$76,
   SMALL(
   IF(
    (ISNUMBER(SEARCH("█",SCHEDULE!AI$1:AI$76)))*
   ( (SCHEDULE!AH$1:AH$76=$B10)+(SCHEDULE!AH$1:AH$76=$C10)+(SCHEDULE!AH$1:AH$76=$D10)+(SCHEDULE!AH$1:AH$76=$E10)+(SCHEDULE!AH$1:AH$76=$F10)+ (SCHEDULE!AJ$1:AJ$76=$G10) ),
     ROW(SCHEDULE!BQ$1:BQ$76),
     ""
    ),COUNTIF($H$1:$H10,$H10)
  )
 ),"
Missing")</f>
        <v xml:space="preserve">
Missing</v>
      </c>
      <c r="AM10" s="210" t="str">
        <f t="array" ref="AM10">IFERROR(
 INDEX(
  SCHEDULE!$A$1:$A$76,
   SMALL(
   IF(
    (ISNUMBER(SEARCH("█",SCHEDULE!AJ$1:AJ$76)))*
   ( (SCHEDULE!AI$1:AI$76=$B10)+(SCHEDULE!AI$1:AI$76=$C10)+(SCHEDULE!AI$1:AI$76=$D10)+(SCHEDULE!AI$1:AI$76=$E10)+(SCHEDULE!AI$1:AI$76=$F10)+ (SCHEDULE!AK$1:AK$76=$G10) ),
     ROW(SCHEDULE!BR$1:BR$76),
     ""
    ),COUNTIF($H$1:$H10,$H10)
  )
 ),"
Missing")</f>
        <v xml:space="preserve">
Missing</v>
      </c>
      <c r="AN10" s="210" t="str">
        <f t="array" ref="AN10">IFERROR(
 INDEX(
  SCHEDULE!$A$1:$A$76,
   SMALL(
   IF(
    (ISNUMBER(SEARCH("█",SCHEDULE!AK$1:AK$76)))*
   ( (SCHEDULE!AJ$1:AJ$76=$B10)+(SCHEDULE!AJ$1:AJ$76=$C10)+(SCHEDULE!AJ$1:AJ$76=$D10)+(SCHEDULE!AJ$1:AJ$76=$E10)+(SCHEDULE!AJ$1:AJ$76=$F10)+ (SCHEDULE!AL$1:AL$76=$G10) ),
     ROW(SCHEDULE!BS$1:BS$76),
     ""
    ),COUNTIF($H$1:$H10,$H10)
  )
 ),"
Missing")</f>
        <v xml:space="preserve">
Missing</v>
      </c>
      <c r="AO10" s="210" t="str">
        <f t="array" ref="AO10">IFERROR(
 INDEX(
  SCHEDULE!$A$1:$A$76,
   SMALL(
   IF(
    (ISNUMBER(SEARCH("█",SCHEDULE!AL$1:AL$76)))*
   ( (SCHEDULE!AK$1:AK$76=$B10)+(SCHEDULE!AK$1:AK$76=$C10)+(SCHEDULE!AK$1:AK$76=$D10)+(SCHEDULE!AK$1:AK$76=$E10)+(SCHEDULE!AK$1:AK$76=$F10)+ (SCHEDULE!AM$1:AM$76=$G10) ),
     ROW(SCHEDULE!BT$1:BT$76),
     ""
    ),COUNTIF($H$1:$H10,$H10)
  )
 ),"
Missing")</f>
        <v xml:space="preserve">
Missing</v>
      </c>
      <c r="AP10" s="210" t="str">
        <f t="array" ref="AP10">IFERROR(
 INDEX(
  SCHEDULE!$A$1:$A$76,
   SMALL(
   IF(
    (ISNUMBER(SEARCH("█",SCHEDULE!AM$1:AM$76)))*
   ( (SCHEDULE!AL$1:AL$76=$B10)+(SCHEDULE!AL$1:AL$76=$C10)+(SCHEDULE!AL$1:AL$76=$D10)+(SCHEDULE!AL$1:AL$76=$E10)+(SCHEDULE!AL$1:AL$76=$F10)+ (SCHEDULE!AN$1:AN$76=$G10) ),
     ROW(SCHEDULE!BU$1:BU$76),
     ""
    ),COUNTIF($H$1:$H10,$H10)
  )
 ),"
Missing")</f>
        <v xml:space="preserve">
Missing</v>
      </c>
      <c r="AQ10" s="210" t="str">
        <f t="array" ref="AQ10">IFERROR(
 INDEX(
  SCHEDULE!$A$1:$A$76,
   SMALL(
   IF(
    (ISNUMBER(SEARCH("█",SCHEDULE!AN$1:AN$76)))*
   ( (SCHEDULE!AM$1:AM$76=$B10)+(SCHEDULE!AM$1:AM$76=$C10)+(SCHEDULE!AM$1:AM$76=$D10)+(SCHEDULE!AM$1:AM$76=$E10)+(SCHEDULE!AM$1:AM$76=$F10)+ (SCHEDULE!AO$1:AO$76=$G10) ),
     ROW(SCHEDULE!BV$1:BV$76),
     ""
    ),COUNTIF($H$1:$H10,$H10)
  )
 ),"
Missing")</f>
        <v xml:space="preserve">
Missing</v>
      </c>
      <c r="AR10" s="210" t="str">
        <f t="array" ref="AR10">IFERROR(
 INDEX(
  SCHEDULE!$A$1:$A$76,
   SMALL(
   IF(
    (ISNUMBER(SEARCH("█",SCHEDULE!AO$1:AO$76)))*
   ( (SCHEDULE!AN$1:AN$76=$B10)+(SCHEDULE!AN$1:AN$76=$C10)+(SCHEDULE!AN$1:AN$76=$D10)+(SCHEDULE!AN$1:AN$76=$E10)+(SCHEDULE!AN$1:AN$76=$F10)+ (SCHEDULE!AP$1:AP$76=$G10) ),
     ROW(SCHEDULE!BW$1:BW$76),
     ""
    ),COUNTIF($H$1:$H10,$H10)
  )
 ),"
Missing")</f>
        <v xml:space="preserve">
Missing</v>
      </c>
      <c r="AS10" s="210" t="str">
        <f t="array" ref="AS10">IFERROR(
 INDEX(
  SCHEDULE!$A$1:$A$76,
   SMALL(
   IF(
    (ISNUMBER(SEARCH("█",SCHEDULE!AP$1:AP$76)))*
   ( (SCHEDULE!AO$1:AO$76=$B10)+(SCHEDULE!AO$1:AO$76=$C10)+(SCHEDULE!AO$1:AO$76=$D10)+(SCHEDULE!AO$1:AO$76=$E10)+(SCHEDULE!AO$1:AO$76=$F10)+ (SCHEDULE!AQ$1:AQ$76=$G10) ),
     ROW(SCHEDULE!BX$1:BX$76),
     ""
    ),COUNTIF($H$1:$H10,$H10)
  )
 ),"
Missing")</f>
        <v xml:space="preserve">
Missing</v>
      </c>
      <c r="AT10" s="210" t="str">
        <f t="array" ref="AT10">IFERROR(
 INDEX(
  SCHEDULE!$A$1:$A$76,
   SMALL(
   IF(
    (ISNUMBER(SEARCH("█",SCHEDULE!AQ$1:AQ$76)))*
   ( (SCHEDULE!AP$1:AP$76=$B10)+(SCHEDULE!AP$1:AP$76=$C10)+(SCHEDULE!AP$1:AP$76=$D10)+(SCHEDULE!AP$1:AP$76=$E10)+(SCHEDULE!AP$1:AP$76=$F10)+ (SCHEDULE!AR$1:AR$76=$G10) ),
     ROW(SCHEDULE!BY$1:BY$76),
     ""
    ),COUNTIF($H$1:$H10,$H10)
  )
 ),"
Missing")</f>
        <v xml:space="preserve">
Missing</v>
      </c>
      <c r="AU10" s="210" t="str">
        <f t="array" ref="AU10">IFERROR(
 INDEX(
  SCHEDULE!$A$1:$A$76,
   SMALL(
   IF(
    (ISNUMBER(SEARCH("█",SCHEDULE!AR$1:AR$76)))*
   ( (SCHEDULE!AQ$1:AQ$76=$B10)+(SCHEDULE!AQ$1:AQ$76=$C10)+(SCHEDULE!AQ$1:AQ$76=$D10)+(SCHEDULE!AQ$1:AQ$76=$E10)+(SCHEDULE!AQ$1:AQ$76=$F10)+ (SCHEDULE!AS$1:AS$76=$G10) ),
     ROW(SCHEDULE!BZ$1:BZ$76),
     ""
    ),COUNTIF($H$1:$H10,$H10)
  )
 ),"
Missing")</f>
        <v xml:space="preserve">
Missing</v>
      </c>
      <c r="AV10" s="210" t="str">
        <f t="array" ref="AV10">IFERROR(
 INDEX(
  SCHEDULE!$A$1:$A$76,
   SMALL(
   IF(
    (ISNUMBER(SEARCH("█",SCHEDULE!AS$1:AS$76)))*
   ( (SCHEDULE!AR$1:AR$76=$B10)+(SCHEDULE!AR$1:AR$76=$C10)+(SCHEDULE!AR$1:AR$76=$D10)+(SCHEDULE!AR$1:AR$76=$E10)+(SCHEDULE!AR$1:AR$76=$F10)+ (SCHEDULE!AT$1:AT$76=$G10) ),
     ROW(SCHEDULE!CA$1:CA$76),
     ""
    ),COUNTIF($H$1:$H10,$H10)
  )
 ),"
Missing")</f>
        <v xml:space="preserve">
Missing</v>
      </c>
      <c r="AW10" s="210" t="str">
        <f t="array" ref="AW10">IFERROR(
 INDEX(
  SCHEDULE!$A$1:$A$76,
   SMALL(
   IF(
    (ISNUMBER(SEARCH("█",SCHEDULE!AT$1:AT$76)))*
   ( (SCHEDULE!AS$1:AS$76=$B10)+(SCHEDULE!AS$1:AS$76=$C10)+(SCHEDULE!AS$1:AS$76=$D10)+(SCHEDULE!AS$1:AS$76=$E10)+(SCHEDULE!AS$1:AS$76=$F10)+ (SCHEDULE!AU$1:AU$76=$G10) ),
     ROW(SCHEDULE!CB$1:CB$76),
     ""
    ),COUNTIF($H$1:$H10,$H10)
  )
 ),"
Missing")</f>
        <v xml:space="preserve">
Missing</v>
      </c>
      <c r="AX10" s="210" t="str">
        <f t="array" ref="AX10">IFERROR(
 INDEX(
  SCHEDULE!$A$1:$A$76,
   SMALL(
   IF(
    (ISNUMBER(SEARCH("█",SCHEDULE!AU$1:AU$76)))*
   ( (SCHEDULE!AT$1:AT$76=$B10)+(SCHEDULE!AT$1:AT$76=$C10)+(SCHEDULE!AT$1:AT$76=$D10)+(SCHEDULE!AT$1:AT$76=$E10)+(SCHEDULE!AT$1:AT$76=$F10)+ (SCHEDULE!AV$1:AV$76=$G10) ),
     ROW(SCHEDULE!CC$1:CC$76),
     ""
    ),COUNTIF($H$1:$H10,$H10)
  )
 ),"
Missing")</f>
        <v xml:space="preserve">
Missing</v>
      </c>
      <c r="AY10" s="210" t="str">
        <f t="array" ref="AY10">IFERROR(
 INDEX(
  SCHEDULE!$A$1:$A$76,
   SMALL(
   IF(
    (ISNUMBER(SEARCH("█",SCHEDULE!AV$1:AV$76)))*
   ( (SCHEDULE!AU$1:AU$76=$B10)+(SCHEDULE!AU$1:AU$76=$C10)+(SCHEDULE!AU$1:AU$76=$D10)+(SCHEDULE!AU$1:AU$76=$E10)+(SCHEDULE!AU$1:AU$76=$F10)+ (SCHEDULE!AW$1:AW$76=$G10) ),
     ROW(SCHEDULE!CD$1:CD$76),
     ""
    ),COUNTIF($H$1:$H10,$H10)
  )
 ),"
Missing")</f>
        <v xml:space="preserve">
Missing</v>
      </c>
      <c r="AZ10" s="210" t="str">
        <f t="array" ref="AZ10">IFERROR(
 INDEX(
  SCHEDULE!$A$1:$A$76,
   SMALL(
   IF(
    (ISNUMBER(SEARCH("█",SCHEDULE!AW$1:AW$76)))*
   ( (SCHEDULE!AV$1:AV$76=$B10)+(SCHEDULE!AV$1:AV$76=$C10)+(SCHEDULE!AV$1:AV$76=$D10)+(SCHEDULE!AV$1:AV$76=$E10)+(SCHEDULE!AV$1:AV$76=$F10)+ (SCHEDULE!AX$1:AX$76=$G10) ),
     ROW(SCHEDULE!CE$1:CE$76),
     ""
    ),COUNTIF($H$1:$H10,$H10)
  )
 ),"
Missing")</f>
        <v xml:space="preserve">
Missing</v>
      </c>
      <c r="BA10" s="210" t="s">
        <v>216</v>
      </c>
      <c r="BB10" s="210" t="s">
        <v>216</v>
      </c>
      <c r="BC10" s="210" t="s">
        <v>216</v>
      </c>
      <c r="BD10" s="210" t="s">
        <v>216</v>
      </c>
      <c r="BE10" s="210" t="s">
        <v>216</v>
      </c>
    </row>
    <row r="11" spans="2:57" s="208" customFormat="1" x14ac:dyDescent="0.2">
      <c r="B11" s="206">
        <v>0.91666666666666663</v>
      </c>
      <c r="C11" s="206" t="s">
        <v>86</v>
      </c>
      <c r="D11" s="206"/>
      <c r="E11" s="206"/>
      <c r="F11" s="206"/>
      <c r="G11" s="206" t="s">
        <v>86</v>
      </c>
      <c r="H11" s="207" t="s">
        <v>29</v>
      </c>
      <c r="I11" s="210" t="str">
        <f t="array" ref="I11">IFERROR(
 INDEX(
  SCHEDULE!$A$1:$A$76,
   SMALL(
   IF(
    (ISNUMBER(SEARCH("█",SCHEDULE!F$1:F$76)))*
   ( (SCHEDULE!E$1:E$76=$B11)+(SCHEDULE!E$1:E$76=$C11)+(SCHEDULE!E$1:E$76=$D11)+(SCHEDULE!E$1:E$76=$E11)+(SCHEDULE!E$1:E$76=$F11)+ (SCHEDULE!G$1:G$76=$G11) ),
     ROW(SCHEDULE!AN$1:AN$76),
     ""
    ),COUNTIF($H$1:$H11,$H11)
  )
 ),"
Missing")</f>
        <v>Ed Baron</v>
      </c>
      <c r="J11" s="210" t="str">
        <f t="array" ref="J11">IFERROR(
 INDEX(
  SCHEDULE!$A$1:$A$76,
   SMALL(
   IF(
    (ISNUMBER(SEARCH("█",SCHEDULE!G$1:G$76)))*
   ( (SCHEDULE!F$1:F$76=$B11)+(SCHEDULE!F$1:F$76=$C11)+(SCHEDULE!F$1:F$76=$D11)+(SCHEDULE!F$1:F$76=$E11)+(SCHEDULE!F$1:F$76=$F11)+ (SCHEDULE!H$1:H$76=$G11) ),
     ROW(SCHEDULE!AO$1:AO$76),
     ""
    ),COUNTIF($H$1:$H11,$H11)
  )
 ),"
Missing")</f>
        <v xml:space="preserve">
Missing</v>
      </c>
      <c r="K11" s="210" t="str">
        <f t="array" ref="K11">IFERROR(
 INDEX(
  SCHEDULE!$A$1:$A$76,
   SMALL(
   IF(
    (ISNUMBER(SEARCH("█",SCHEDULE!H$1:H$76)))*
   ( (SCHEDULE!G$1:G$76=$B11)+(SCHEDULE!G$1:G$76=$C11)+(SCHEDULE!G$1:G$76=$D11)+(SCHEDULE!G$1:G$76=$E11)+(SCHEDULE!G$1:G$76=$F11)+ (SCHEDULE!I$1:I$76=$G11) ),
     ROW(SCHEDULE!AP$1:AP$76),
     ""
    ),COUNTIF($H$1:$H11,$H11)
  )
 ),"
Missing")</f>
        <v xml:space="preserve">
Missing</v>
      </c>
      <c r="L11" s="210" t="str">
        <f t="array" ref="L11">IFERROR(
 INDEX(
  SCHEDULE!$A$1:$A$76,
   SMALL(
   IF(
    (ISNUMBER(SEARCH("█",SCHEDULE!I$1:I$76)))*
   ( (SCHEDULE!H$1:H$76=$B11)+(SCHEDULE!H$1:H$76=$C11)+(SCHEDULE!H$1:H$76=$D11)+(SCHEDULE!H$1:H$76=$E11)+(SCHEDULE!H$1:H$76=$F11)+ (SCHEDULE!J$1:J$76=$G11) ),
     ROW(SCHEDULE!AQ$1:AQ$76),
     ""
    ),COUNTIF($H$1:$H11,$H11)
  )
 ),"
Missing")</f>
        <v xml:space="preserve">
Missing</v>
      </c>
      <c r="M11" s="210" t="str">
        <f t="array" ref="M11">IFERROR(
 INDEX(
  SCHEDULE!$A$1:$A$76,
   SMALL(
   IF(
    (ISNUMBER(SEARCH("█",SCHEDULE!J$1:J$76)))*
   ( (SCHEDULE!I$1:I$76=$B11)+(SCHEDULE!I$1:I$76=$C11)+(SCHEDULE!I$1:I$76=$D11)+(SCHEDULE!I$1:I$76=$E11)+(SCHEDULE!I$1:I$76=$F11)+ (SCHEDULE!K$1:K$76=$G11) ),
     ROW(SCHEDULE!AR$1:AR$76),
     ""
    ),COUNTIF($H$1:$H11,$H11)
  )
 ),"
Missing")</f>
        <v>James Mitchell</v>
      </c>
      <c r="N11" s="210" t="str">
        <f t="array" ref="N11">IFERROR(
 INDEX(
  SCHEDULE!$A$1:$A$76,
   SMALL(
   IF(
    (ISNUMBER(SEARCH("█",SCHEDULE!K$1:K$76)))*
   ( (SCHEDULE!J$1:J$76=$B11)+(SCHEDULE!J$1:J$76=$C11)+(SCHEDULE!J$1:J$76=$D11)+(SCHEDULE!J$1:J$76=$E11)+(SCHEDULE!J$1:J$76=$F11)+ (SCHEDULE!L$1:L$76=$G11) ),
     ROW(SCHEDULE!AS$1:AS$76),
     ""
    ),COUNTIF($H$1:$H11,$H11)
  )
 ),"
Missing")</f>
        <v xml:space="preserve">
Missing</v>
      </c>
      <c r="O11" s="210" t="str">
        <f t="array" ref="O11">IFERROR(
 INDEX(
  SCHEDULE!$A$1:$A$76,
   SMALL(
   IF(
    (ISNUMBER(SEARCH("█",SCHEDULE!L$1:L$76)))*
   ( (SCHEDULE!K$1:K$76=$B11)+(SCHEDULE!K$1:K$76=$C11)+(SCHEDULE!K$1:K$76=$D11)+(SCHEDULE!K$1:K$76=$E11)+(SCHEDULE!K$1:K$76=$F11)+ (SCHEDULE!M$1:M$76=$G11) ),
     ROW(SCHEDULE!AT$1:AT$76),
     ""
    ),COUNTIF($H$1:$H11,$H11)
  )
 ),"
Missing")</f>
        <v xml:space="preserve">
Missing</v>
      </c>
      <c r="P11" s="210" t="str">
        <f t="array" ref="P11">IFERROR(
 INDEX(
  SCHEDULE!$A$1:$A$76,
   SMALL(
   IF(
    (ISNUMBER(SEARCH("█",SCHEDULE!M$1:M$76)))*
   ( (SCHEDULE!L$1:L$76=$B11)+(SCHEDULE!L$1:L$76=$C11)+(SCHEDULE!L$1:L$76=$D11)+(SCHEDULE!L$1:L$76=$E11)+(SCHEDULE!L$1:L$76=$F11)+ (SCHEDULE!N$1:N$76=$G11) ),
     ROW(SCHEDULE!AU$1:AU$76),
     ""
    ),COUNTIF($H$1:$H11,$H11)
  )
 ),"
Missing")</f>
        <v>James Mitchell</v>
      </c>
      <c r="Q11" s="210" t="str">
        <f t="array" ref="Q11">IFERROR(
 INDEX(
  SCHEDULE!$A$1:$A$76,
   SMALL(
   IF(
    (ISNUMBER(SEARCH("█",SCHEDULE!N$1:N$76)))*
   ( (SCHEDULE!M$1:M$76=$B11)+(SCHEDULE!M$1:M$76=$C11)+(SCHEDULE!M$1:M$76=$D11)+(SCHEDULE!M$1:M$76=$E11)+(SCHEDULE!M$1:M$76=$F11)+ (SCHEDULE!O$1:O$76=$G11) ),
     ROW(SCHEDULE!AV$1:AV$76),
     ""
    ),COUNTIF($H$1:$H11,$H11)
  )
 ),"
Missing")</f>
        <v xml:space="preserve">
Missing</v>
      </c>
      <c r="R11" s="210" t="str">
        <f t="array" ref="R11">IFERROR(
 INDEX(
  SCHEDULE!$A$1:$A$76,
   SMALL(
   IF(
    (ISNUMBER(SEARCH("█",SCHEDULE!O$1:O$76)))*
   ( (SCHEDULE!N$1:N$76=$B11)+(SCHEDULE!N$1:N$76=$C11)+(SCHEDULE!N$1:N$76=$D11)+(SCHEDULE!N$1:N$76=$E11)+(SCHEDULE!N$1:N$76=$F11)+ (SCHEDULE!P$1:P$76=$G11) ),
     ROW(SCHEDULE!AW$1:AW$76),
     ""
    ),COUNTIF($H$1:$H11,$H11)
  )
 ),"
Missing")</f>
        <v xml:space="preserve">
Missing</v>
      </c>
      <c r="S11" s="210" t="str">
        <f t="array" ref="S11">IFERROR(
 INDEX(
  SCHEDULE!$A$1:$A$76,
   SMALL(
   IF(
    (ISNUMBER(SEARCH("█",SCHEDULE!P$1:P$76)))*
   ( (SCHEDULE!O$1:O$76=$B11)+(SCHEDULE!O$1:O$76=$C11)+(SCHEDULE!O$1:O$76=$D11)+(SCHEDULE!O$1:O$76=$E11)+(SCHEDULE!O$1:O$76=$F11)+ (SCHEDULE!Q$1:Q$76=$G11) ),
     ROW(SCHEDULE!AX$1:AX$76),
     ""
    ),COUNTIF($H$1:$H11,$H11)
  )
 ),"
Missing")</f>
        <v>James Mitchell</v>
      </c>
      <c r="T11" s="210" t="str">
        <f t="array" ref="T11">IFERROR(
 INDEX(
  SCHEDULE!$A$1:$A$76,
   SMALL(
   IF(
    (ISNUMBER(SEARCH("█",SCHEDULE!Q$1:Q$76)))*
   ( (SCHEDULE!P$1:P$76=$B11)+(SCHEDULE!P$1:P$76=$C11)+(SCHEDULE!P$1:P$76=$D11)+(SCHEDULE!P$1:P$76=$E11)+(SCHEDULE!P$1:P$76=$F11)+ (SCHEDULE!R$1:R$76=$G11) ),
     ROW(SCHEDULE!AY$1:AY$76),
     ""
    ),COUNTIF($H$1:$H11,$H11)
  )
 ),"
Missing")</f>
        <v xml:space="preserve">
Missing</v>
      </c>
      <c r="U11" s="210" t="str">
        <f t="array" ref="U11">IFERROR(
 INDEX(
  SCHEDULE!$A$1:$A$76,
   SMALL(
   IF(
    (ISNUMBER(SEARCH("█",SCHEDULE!R$1:R$76)))*
   ( (SCHEDULE!Q$1:Q$76=$B11)+(SCHEDULE!Q$1:Q$76=$C11)+(SCHEDULE!Q$1:Q$76=$D11)+(SCHEDULE!Q$1:Q$76=$E11)+(SCHEDULE!Q$1:Q$76=$F11)+ (SCHEDULE!S$1:S$76=$G11) ),
     ROW(SCHEDULE!AZ$1:AZ$76),
     ""
    ),COUNTIF($H$1:$H11,$H11)
  )
 ),"
Missing")</f>
        <v xml:space="preserve">
Missing</v>
      </c>
      <c r="V11" s="210" t="str">
        <f t="array" ref="V11">IFERROR(
 INDEX(
  SCHEDULE!$A$1:$A$76,
   SMALL(
   IF(
    (ISNUMBER(SEARCH("█",SCHEDULE!S$1:S$76)))*
   ( (SCHEDULE!R$1:R$76=$B11)+(SCHEDULE!R$1:R$76=$C11)+(SCHEDULE!R$1:R$76=$D11)+(SCHEDULE!R$1:R$76=$E11)+(SCHEDULE!R$1:R$76=$F11)+ (SCHEDULE!T$1:T$76=$G11) ),
     ROW(SCHEDULE!BA$1:BA$76),
     ""
    ),COUNTIF($H$1:$H11,$H11)
  )
 ),"
Missing")</f>
        <v>James Mitchell</v>
      </c>
      <c r="W11" s="210" t="str">
        <f t="array" ref="W11">IFERROR(
 INDEX(
  SCHEDULE!$A$1:$A$76,
   SMALL(
   IF(
    (ISNUMBER(SEARCH("█",SCHEDULE!T$1:T$76)))*
   ( (SCHEDULE!S$1:S$76=$B11)+(SCHEDULE!S$1:S$76=$C11)+(SCHEDULE!S$1:S$76=$D11)+(SCHEDULE!S$1:S$76=$E11)+(SCHEDULE!S$1:S$76=$F11)+ (SCHEDULE!U$1:U$76=$G11) ),
     ROW(SCHEDULE!BB$1:BB$76),
     ""
    ),COUNTIF($H$1:$H11,$H11)
  )
 ),"
Missing")</f>
        <v xml:space="preserve">
Missing</v>
      </c>
      <c r="X11" s="210" t="str">
        <f t="array" ref="X11">IFERROR(
 INDEX(
  SCHEDULE!$A$1:$A$76,
   SMALL(
   IF(
    (ISNUMBER(SEARCH("█",SCHEDULE!U$1:U$76)))*
   ( (SCHEDULE!T$1:T$76=$B11)+(SCHEDULE!T$1:T$76=$C11)+(SCHEDULE!T$1:T$76=$D11)+(SCHEDULE!T$1:T$76=$E11)+(SCHEDULE!T$1:T$76=$F11)+ (SCHEDULE!V$1:V$76=$G11) ),
     ROW(SCHEDULE!BC$1:BC$76),
     ""
    ),COUNTIF($H$1:$H11,$H11)
  )
 ),"
Missing")</f>
        <v xml:space="preserve">
Missing</v>
      </c>
      <c r="Y11" s="210" t="str">
        <f t="array" ref="Y11">IFERROR(
 INDEX(
  SCHEDULE!$A$1:$A$76,
   SMALL(
   IF(
    (ISNUMBER(SEARCH("█",SCHEDULE!V$1:V$76)))*
   ( (SCHEDULE!U$1:U$76=$B11)+(SCHEDULE!U$1:U$76=$C11)+(SCHEDULE!U$1:U$76=$D11)+(SCHEDULE!U$1:U$76=$E11)+(SCHEDULE!U$1:U$76=$F11)+ (SCHEDULE!W$1:W$76=$G11) ),
     ROW(SCHEDULE!BD$1:BD$76),
     ""
    ),COUNTIF($H$1:$H11,$H11)
  )
 ),"
Missing")</f>
        <v>James Mitchell</v>
      </c>
      <c r="Z11" s="210" t="str">
        <f t="array" ref="Z11">IFERROR(
 INDEX(
  SCHEDULE!$A$1:$A$76,
   SMALL(
   IF(
    (ISNUMBER(SEARCH("█",SCHEDULE!W$1:W$76)))*
   ( (SCHEDULE!V$1:V$76=$B11)+(SCHEDULE!V$1:V$76=$C11)+(SCHEDULE!V$1:V$76=$D11)+(SCHEDULE!V$1:V$76=$E11)+(SCHEDULE!V$1:V$76=$F11)+ (SCHEDULE!X$1:X$76=$G11) ),
     ROW(SCHEDULE!BE$1:BE$76),
     ""
    ),COUNTIF($H$1:$H11,$H11)
  )
 ),"
Missing")</f>
        <v xml:space="preserve">
Missing</v>
      </c>
      <c r="AA11" s="210" t="str">
        <f t="array" ref="AA11">IFERROR(
 INDEX(
  SCHEDULE!$A$1:$A$76,
   SMALL(
   IF(
    (ISNUMBER(SEARCH("█",SCHEDULE!X$1:X$76)))*
   ( (SCHEDULE!W$1:W$76=$B11)+(SCHEDULE!W$1:W$76=$C11)+(SCHEDULE!W$1:W$76=$D11)+(SCHEDULE!W$1:W$76=$E11)+(SCHEDULE!W$1:W$76=$F11)+ (SCHEDULE!Y$1:Y$76=$G11) ),
     ROW(SCHEDULE!BF$1:BF$76),
     ""
    ),COUNTIF($H$1:$H11,$H11)
  )
 ),"
Missing")</f>
        <v xml:space="preserve">
Missing</v>
      </c>
      <c r="AB11" s="210" t="str">
        <f t="array" ref="AB11">IFERROR(
 INDEX(
  SCHEDULE!$A$1:$A$76,
   SMALL(
   IF(
    (ISNUMBER(SEARCH("█",SCHEDULE!Y$1:Y$76)))*
   ( (SCHEDULE!X$1:X$76=$B11)+(SCHEDULE!X$1:X$76=$C11)+(SCHEDULE!X$1:X$76=$D11)+(SCHEDULE!X$1:X$76=$E11)+(SCHEDULE!X$1:X$76=$F11)+ (SCHEDULE!Z$1:Z$76=$G11) ),
     ROW(SCHEDULE!BG$1:BG$76),
     ""
    ),COUNTIF($H$1:$H11,$H11)
  )
 ),"
Missing")</f>
        <v>Ed Baron</v>
      </c>
      <c r="AC11" s="210" t="str">
        <f t="array" ref="AC11">IFERROR(
 INDEX(
  SCHEDULE!$A$1:$A$76,
   SMALL(
   IF(
    (ISNUMBER(SEARCH("█",SCHEDULE!Z$1:Z$76)))*
   ( (SCHEDULE!Y$1:Y$76=$B11)+(SCHEDULE!Y$1:Y$76=$C11)+(SCHEDULE!Y$1:Y$76=$D11)+(SCHEDULE!Y$1:Y$76=$E11)+(SCHEDULE!Y$1:Y$76=$F11)+ (SCHEDULE!AA$1:AA$76=$G11) ),
     ROW(SCHEDULE!BH$1:BH$76),
     ""
    ),COUNTIF($H$1:$H11,$H11)
  )
 ),"
Missing")</f>
        <v xml:space="preserve">
Missing</v>
      </c>
      <c r="AD11" s="210" t="str">
        <f t="array" ref="AD11">IFERROR(
 INDEX(
  SCHEDULE!$A$1:$A$76,
   SMALL(
   IF(
    (ISNUMBER(SEARCH("█",SCHEDULE!AA$1:AA$76)))*
   ( (SCHEDULE!Z$1:Z$76=$B11)+(SCHEDULE!Z$1:Z$76=$C11)+(SCHEDULE!Z$1:Z$76=$D11)+(SCHEDULE!Z$1:Z$76=$E11)+(SCHEDULE!Z$1:Z$76=$F11)+ (SCHEDULE!AB$1:AB$76=$G11) ),
     ROW(SCHEDULE!BI$1:BI$76),
     ""
    ),COUNTIF($H$1:$H11,$H11)
  )
 ),"
Missing")</f>
        <v xml:space="preserve">
Missing</v>
      </c>
      <c r="AE11" s="210" t="str">
        <f t="array" ref="AE11">IFERROR(
 INDEX(
  SCHEDULE!$A$1:$A$76,
   SMALL(
   IF(
    (ISNUMBER(SEARCH("█",SCHEDULE!AB$1:AB$76)))*
   ( (SCHEDULE!AA$1:AA$76=$B11)+(SCHEDULE!AA$1:AA$76=$C11)+(SCHEDULE!AA$1:AA$76=$D11)+(SCHEDULE!AA$1:AA$76=$E11)+(SCHEDULE!AA$1:AA$76=$F11)+ (SCHEDULE!AC$1:AC$76=$G11) ),
     ROW(SCHEDULE!BJ$1:BJ$76),
     ""
    ),COUNTIF($H$1:$H11,$H11)
  )
 ),"
Missing")</f>
        <v>Ed Baron</v>
      </c>
      <c r="AF11" s="210" t="str">
        <f t="array" ref="AF11">IFERROR(
 INDEX(
  SCHEDULE!$A$1:$A$76,
   SMALL(
   IF(
    (ISNUMBER(SEARCH("█",SCHEDULE!AC$1:AC$76)))*
   ( (SCHEDULE!AB$1:AB$76=$B11)+(SCHEDULE!AB$1:AB$76=$C11)+(SCHEDULE!AB$1:AB$76=$D11)+(SCHEDULE!AB$1:AB$76=$E11)+(SCHEDULE!AB$1:AB$76=$F11)+ (SCHEDULE!AD$1:AD$76=$G11) ),
     ROW(SCHEDULE!BK$1:BK$76),
     ""
    ),COUNTIF($H$1:$H11,$H11)
  )
 ),"
Missing")</f>
        <v xml:space="preserve">
Missing</v>
      </c>
      <c r="AG11" s="210" t="str">
        <f t="array" ref="AG11">IFERROR(
 INDEX(
  SCHEDULE!$A$1:$A$76,
   SMALL(
   IF(
    (ISNUMBER(SEARCH("█",SCHEDULE!AD$1:AD$76)))*
   ( (SCHEDULE!AC$1:AC$76=$B11)+(SCHEDULE!AC$1:AC$76=$C11)+(SCHEDULE!AC$1:AC$76=$D11)+(SCHEDULE!AC$1:AC$76=$E11)+(SCHEDULE!AC$1:AC$76=$F11)+ (SCHEDULE!AE$1:AE$76=$G11) ),
     ROW(SCHEDULE!BL$1:BL$76),
     ""
    ),COUNTIF($H$1:$H11,$H11)
  )
 ),"
Missing")</f>
        <v xml:space="preserve">
Missing</v>
      </c>
      <c r="AH11" s="210" t="str">
        <f t="array" ref="AH11">IFERROR(
 INDEX(
  SCHEDULE!$A$1:$A$76,
   SMALL(
   IF(
    (ISNUMBER(SEARCH("█",SCHEDULE!AE$1:AE$76)))*
   ( (SCHEDULE!AD$1:AD$76=$B11)+(SCHEDULE!AD$1:AD$76=$C11)+(SCHEDULE!AD$1:AD$76=$D11)+(SCHEDULE!AD$1:AD$76=$E11)+(SCHEDULE!AD$1:AD$76=$F11)+ (SCHEDULE!AF$1:AF$76=$G11) ),
     ROW(SCHEDULE!BM$1:BM$76),
     ""
    ),COUNTIF($H$1:$H11,$H11)
  )
 ),"
Missing")</f>
        <v xml:space="preserve">
Missing</v>
      </c>
      <c r="AI11" s="210" t="str">
        <f t="array" ref="AI11">IFERROR(
 INDEX(
  SCHEDULE!$A$1:$A$76,
   SMALL(
   IF(
    (ISNUMBER(SEARCH("█",SCHEDULE!AF$1:AF$76)))*
   ( (SCHEDULE!AE$1:AE$76=$B11)+(SCHEDULE!AE$1:AE$76=$C11)+(SCHEDULE!AE$1:AE$76=$D11)+(SCHEDULE!AE$1:AE$76=$E11)+(SCHEDULE!AE$1:AE$76=$F11)+ (SCHEDULE!AG$1:AG$76=$G11) ),
     ROW(SCHEDULE!BN$1:BN$76),
     ""
    ),COUNTIF($H$1:$H11,$H11)
  )
 ),"
Missing")</f>
        <v>Jesse Grant</v>
      </c>
      <c r="AJ11" s="210" t="str">
        <f t="array" ref="AJ11">IFERROR(
 INDEX(
  SCHEDULE!$A$1:$A$76,
   SMALL(
   IF(
    (ISNUMBER(SEARCH("█",SCHEDULE!AG$1:AG$76)))*
   ( (SCHEDULE!AF$1:AF$76=$B11)+(SCHEDULE!AF$1:AF$76=$C11)+(SCHEDULE!AF$1:AF$76=$D11)+(SCHEDULE!AF$1:AF$76=$E11)+(SCHEDULE!AF$1:AF$76=$F11)+ (SCHEDULE!AH$1:AH$76=$G11) ),
     ROW(SCHEDULE!BO$1:BO$76),
     ""
    ),COUNTIF($H$1:$H11,$H11)
  )
 ),"
Missing")</f>
        <v xml:space="preserve">
Missing</v>
      </c>
      <c r="AK11" s="210" t="str">
        <f t="array" ref="AK11">IFERROR(
 INDEX(
  SCHEDULE!$A$1:$A$76,
   SMALL(
   IF(
    (ISNUMBER(SEARCH("█",SCHEDULE!AH$1:AH$76)))*
   ( (SCHEDULE!AG$1:AG$76=$B11)+(SCHEDULE!AG$1:AG$76=$C11)+(SCHEDULE!AG$1:AG$76=$D11)+(SCHEDULE!AG$1:AG$76=$E11)+(SCHEDULE!AG$1:AG$76=$F11)+ (SCHEDULE!AI$1:AI$76=$G11) ),
     ROW(SCHEDULE!BP$1:BP$76),
     ""
    ),COUNTIF($H$1:$H11,$H11)
  )
 ),"
Missing")</f>
        <v xml:space="preserve">
Missing</v>
      </c>
      <c r="AL11" s="210" t="str">
        <f t="array" ref="AL11">IFERROR(
 INDEX(
  SCHEDULE!$A$1:$A$76,
   SMALL(
   IF(
    (ISNUMBER(SEARCH("█",SCHEDULE!AI$1:AI$76)))*
   ( (SCHEDULE!AH$1:AH$76=$B11)+(SCHEDULE!AH$1:AH$76=$C11)+(SCHEDULE!AH$1:AH$76=$D11)+(SCHEDULE!AH$1:AH$76=$E11)+(SCHEDULE!AH$1:AH$76=$F11)+ (SCHEDULE!AJ$1:AJ$76=$G11) ),
     ROW(SCHEDULE!BQ$1:BQ$76),
     ""
    ),COUNTIF($H$1:$H11,$H11)
  )
 ),"
Missing")</f>
        <v>Jesse Grant</v>
      </c>
      <c r="AM11" s="210" t="str">
        <f t="array" ref="AM11">IFERROR(
 INDEX(
  SCHEDULE!$A$1:$A$76,
   SMALL(
   IF(
    (ISNUMBER(SEARCH("█",SCHEDULE!AJ$1:AJ$76)))*
   ( (SCHEDULE!AI$1:AI$76=$B11)+(SCHEDULE!AI$1:AI$76=$C11)+(SCHEDULE!AI$1:AI$76=$D11)+(SCHEDULE!AI$1:AI$76=$E11)+(SCHEDULE!AI$1:AI$76=$F11)+ (SCHEDULE!AK$1:AK$76=$G11) ),
     ROW(SCHEDULE!BR$1:BR$76),
     ""
    ),COUNTIF($H$1:$H11,$H11)
  )
 ),"
Missing")</f>
        <v xml:space="preserve">
Missing</v>
      </c>
      <c r="AN11" s="210" t="str">
        <f t="array" ref="AN11">IFERROR(
 INDEX(
  SCHEDULE!$A$1:$A$76,
   SMALL(
   IF(
    (ISNUMBER(SEARCH("█",SCHEDULE!AK$1:AK$76)))*
   ( (SCHEDULE!AJ$1:AJ$76=$B11)+(SCHEDULE!AJ$1:AJ$76=$C11)+(SCHEDULE!AJ$1:AJ$76=$D11)+(SCHEDULE!AJ$1:AJ$76=$E11)+(SCHEDULE!AJ$1:AJ$76=$F11)+ (SCHEDULE!AL$1:AL$76=$G11) ),
     ROW(SCHEDULE!BS$1:BS$76),
     ""
    ),COUNTIF($H$1:$H11,$H11)
  )
 ),"
Missing")</f>
        <v xml:space="preserve">
Missing</v>
      </c>
      <c r="AO11" s="210" t="str">
        <f t="array" ref="AO11">IFERROR(
 INDEX(
  SCHEDULE!$A$1:$A$76,
   SMALL(
   IF(
    (ISNUMBER(SEARCH("█",SCHEDULE!AL$1:AL$76)))*
   ( (SCHEDULE!AK$1:AK$76=$B11)+(SCHEDULE!AK$1:AK$76=$C11)+(SCHEDULE!AK$1:AK$76=$D11)+(SCHEDULE!AK$1:AK$76=$E11)+(SCHEDULE!AK$1:AK$76=$F11)+ (SCHEDULE!AM$1:AM$76=$G11) ),
     ROW(SCHEDULE!BT$1:BT$76),
     ""
    ),COUNTIF($H$1:$H11,$H11)
  )
 ),"
Missing")</f>
        <v>Jesse Grant</v>
      </c>
      <c r="AP11" s="210" t="str">
        <f t="array" ref="AP11">IFERROR(
 INDEX(
  SCHEDULE!$A$1:$A$76,
   SMALL(
   IF(
    (ISNUMBER(SEARCH("█",SCHEDULE!AM$1:AM$76)))*
   ( (SCHEDULE!AL$1:AL$76=$B11)+(SCHEDULE!AL$1:AL$76=$C11)+(SCHEDULE!AL$1:AL$76=$D11)+(SCHEDULE!AL$1:AL$76=$E11)+(SCHEDULE!AL$1:AL$76=$F11)+ (SCHEDULE!AN$1:AN$76=$G11) ),
     ROW(SCHEDULE!BU$1:BU$76),
     ""
    ),COUNTIF($H$1:$H11,$H11)
  )
 ),"
Missing")</f>
        <v xml:space="preserve">
Missing</v>
      </c>
      <c r="AQ11" s="210" t="str">
        <f t="array" ref="AQ11">IFERROR(
 INDEX(
  SCHEDULE!$A$1:$A$76,
   SMALL(
   IF(
    (ISNUMBER(SEARCH("█",SCHEDULE!AN$1:AN$76)))*
   ( (SCHEDULE!AM$1:AM$76=$B11)+(SCHEDULE!AM$1:AM$76=$C11)+(SCHEDULE!AM$1:AM$76=$D11)+(SCHEDULE!AM$1:AM$76=$E11)+(SCHEDULE!AM$1:AM$76=$F11)+ (SCHEDULE!AO$1:AO$76=$G11) ),
     ROW(SCHEDULE!BV$1:BV$76),
     ""
    ),COUNTIF($H$1:$H11,$H11)
  )
 ),"
Missing")</f>
        <v xml:space="preserve">
Missing</v>
      </c>
      <c r="AR11" s="210" t="str">
        <f t="array" ref="AR11">IFERROR(
 INDEX(
  SCHEDULE!$A$1:$A$76,
   SMALL(
   IF(
    (ISNUMBER(SEARCH("█",SCHEDULE!AO$1:AO$76)))*
   ( (SCHEDULE!AN$1:AN$76=$B11)+(SCHEDULE!AN$1:AN$76=$C11)+(SCHEDULE!AN$1:AN$76=$D11)+(SCHEDULE!AN$1:AN$76=$E11)+(SCHEDULE!AN$1:AN$76=$F11)+ (SCHEDULE!AP$1:AP$76=$G11) ),
     ROW(SCHEDULE!BW$1:BW$76),
     ""
    ),COUNTIF($H$1:$H11,$H11)
  )
 ),"
Missing")</f>
        <v>Jesse Grant</v>
      </c>
      <c r="AS11" s="210" t="str">
        <f t="array" ref="AS11">IFERROR(
 INDEX(
  SCHEDULE!$A$1:$A$76,
   SMALL(
   IF(
    (ISNUMBER(SEARCH("█",SCHEDULE!AP$1:AP$76)))*
   ( (SCHEDULE!AO$1:AO$76=$B11)+(SCHEDULE!AO$1:AO$76=$C11)+(SCHEDULE!AO$1:AO$76=$D11)+(SCHEDULE!AO$1:AO$76=$E11)+(SCHEDULE!AO$1:AO$76=$F11)+ (SCHEDULE!AQ$1:AQ$76=$G11) ),
     ROW(SCHEDULE!BX$1:BX$76),
     ""
    ),COUNTIF($H$1:$H11,$H11)
  )
 ),"
Missing")</f>
        <v xml:space="preserve">
Missing</v>
      </c>
      <c r="AT11" s="210" t="str">
        <f t="array" ref="AT11">IFERROR(
 INDEX(
  SCHEDULE!$A$1:$A$76,
   SMALL(
   IF(
    (ISNUMBER(SEARCH("█",SCHEDULE!AQ$1:AQ$76)))*
   ( (SCHEDULE!AP$1:AP$76=$B11)+(SCHEDULE!AP$1:AP$76=$C11)+(SCHEDULE!AP$1:AP$76=$D11)+(SCHEDULE!AP$1:AP$76=$E11)+(SCHEDULE!AP$1:AP$76=$F11)+ (SCHEDULE!AR$1:AR$76=$G11) ),
     ROW(SCHEDULE!BY$1:BY$76),
     ""
    ),COUNTIF($H$1:$H11,$H11)
  )
 ),"
Missing")</f>
        <v xml:space="preserve">
Missing</v>
      </c>
      <c r="AU11" s="210" t="str">
        <f t="array" ref="AU11">IFERROR(
 INDEX(
  SCHEDULE!$A$1:$A$76,
   SMALL(
   IF(
    (ISNUMBER(SEARCH("█",SCHEDULE!AR$1:AR$76)))*
   ( (SCHEDULE!AQ$1:AQ$76=$B11)+(SCHEDULE!AQ$1:AQ$76=$C11)+(SCHEDULE!AQ$1:AQ$76=$D11)+(SCHEDULE!AQ$1:AQ$76=$E11)+(SCHEDULE!AQ$1:AQ$76=$F11)+ (SCHEDULE!AS$1:AS$76=$G11) ),
     ROW(SCHEDULE!BZ$1:BZ$76),
     ""
    ),COUNTIF($H$1:$H11,$H11)
  )
 ),"
Missing")</f>
        <v>Jesse Grant</v>
      </c>
      <c r="AV11" s="210" t="str">
        <f t="array" ref="AV11">IFERROR(
 INDEX(
  SCHEDULE!$A$1:$A$76,
   SMALL(
   IF(
    (ISNUMBER(SEARCH("█",SCHEDULE!AS$1:AS$76)))*
   ( (SCHEDULE!AR$1:AR$76=$B11)+(SCHEDULE!AR$1:AR$76=$C11)+(SCHEDULE!AR$1:AR$76=$D11)+(SCHEDULE!AR$1:AR$76=$E11)+(SCHEDULE!AR$1:AR$76=$F11)+ (SCHEDULE!AT$1:AT$76=$G11) ),
     ROW(SCHEDULE!CA$1:CA$76),
     ""
    ),COUNTIF($H$1:$H11,$H11)
  )
 ),"
Missing")</f>
        <v xml:space="preserve">
Missing</v>
      </c>
      <c r="AW11" s="210" t="str">
        <f t="array" ref="AW11">IFERROR(
 INDEX(
  SCHEDULE!$A$1:$A$76,
   SMALL(
   IF(
    (ISNUMBER(SEARCH("█",SCHEDULE!AT$1:AT$76)))*
   ( (SCHEDULE!AS$1:AS$76=$B11)+(SCHEDULE!AS$1:AS$76=$C11)+(SCHEDULE!AS$1:AS$76=$D11)+(SCHEDULE!AS$1:AS$76=$E11)+(SCHEDULE!AS$1:AS$76=$F11)+ (SCHEDULE!AU$1:AU$76=$G11) ),
     ROW(SCHEDULE!CB$1:CB$76),
     ""
    ),COUNTIF($H$1:$H11,$H11)
  )
 ),"
Missing")</f>
        <v xml:space="preserve">
Missing</v>
      </c>
      <c r="AX11" s="210" t="str">
        <f t="array" ref="AX11">IFERROR(
 INDEX(
  SCHEDULE!$A$1:$A$76,
   SMALL(
   IF(
    (ISNUMBER(SEARCH("█",SCHEDULE!AU$1:AU$76)))*
   ( (SCHEDULE!AT$1:AT$76=$B11)+(SCHEDULE!AT$1:AT$76=$C11)+(SCHEDULE!AT$1:AT$76=$D11)+(SCHEDULE!AT$1:AT$76=$E11)+(SCHEDULE!AT$1:AT$76=$F11)+ (SCHEDULE!AV$1:AV$76=$G11) ),
     ROW(SCHEDULE!CC$1:CC$76),
     ""
    ),COUNTIF($H$1:$H11,$H11)
  )
 ),"
Missing")</f>
        <v>Ed Baron</v>
      </c>
      <c r="AY11" s="210" t="str">
        <f t="array" ref="AY11">IFERROR(
 INDEX(
  SCHEDULE!$A$1:$A$76,
   SMALL(
   IF(
    (ISNUMBER(SEARCH("█",SCHEDULE!AV$1:AV$76)))*
   ( (SCHEDULE!AU$1:AU$76=$B11)+(SCHEDULE!AU$1:AU$76=$C11)+(SCHEDULE!AU$1:AU$76=$D11)+(SCHEDULE!AU$1:AU$76=$E11)+(SCHEDULE!AU$1:AU$76=$F11)+ (SCHEDULE!AW$1:AW$76=$G11) ),
     ROW(SCHEDULE!CD$1:CD$76),
     ""
    ),COUNTIF($H$1:$H11,$H11)
  )
 ),"
Missing")</f>
        <v xml:space="preserve">
Missing</v>
      </c>
      <c r="AZ11" s="210" t="str">
        <f t="array" ref="AZ11">IFERROR(
 INDEX(
  SCHEDULE!$A$1:$A$76,
   SMALL(
   IF(
    (ISNUMBER(SEARCH("█",SCHEDULE!AW$1:AW$76)))*
   ( (SCHEDULE!AV$1:AV$76=$B11)+(SCHEDULE!AV$1:AV$76=$C11)+(SCHEDULE!AV$1:AV$76=$D11)+(SCHEDULE!AV$1:AV$76=$E11)+(SCHEDULE!AV$1:AV$76=$F11)+ (SCHEDULE!AX$1:AX$76=$G11) ),
     ROW(SCHEDULE!CE$1:CE$76),
     ""
    ),COUNTIF($H$1:$H11,$H11)
  )
 ),"
Missing")</f>
        <v xml:space="preserve">
Missing</v>
      </c>
      <c r="BA11" s="210" t="str">
        <f t="array" ref="BA11">IFERROR(
 INDEX(
  SCHEDULE!$A$1:$A$76,
   SMALL(
   IF(
    (ISNUMBER(SEARCH("█",SCHEDULE!AX$1:AX$76)))*
   ( (SCHEDULE!AW$1:AW$76=$B11)+(SCHEDULE!AW$1:AW$76=$C11)+(SCHEDULE!AW$1:AW$76=$D11)+(SCHEDULE!AW$1:AW$76=$E11)+(SCHEDULE!AW$1:AW$76=$F11)+ (SCHEDULE!AY$1:AY$76=$G11) ),
     ROW(SCHEDULE!CF$1:CF$76),
     ""
    ),COUNTIF($H$1:$H11,$H11)
  )
 ),"
Missing")</f>
        <v>Ed Baron</v>
      </c>
      <c r="BB11" s="210" t="str">
        <f t="array" ref="BB11">IFERROR(
 INDEX(
  SCHEDULE!$A$1:$A$76,
   SMALL(
   IF(
    (ISNUMBER(SEARCH("█",SCHEDULE!AY$1:AY$76)))*
   ( (SCHEDULE!AX$1:AX$76=$B11)+(SCHEDULE!AX$1:AX$76=$C11)+(SCHEDULE!AX$1:AX$76=$D11)+(SCHEDULE!AX$1:AX$76=$E11)+(SCHEDULE!AX$1:AX$76=$F11)+ (SCHEDULE!AZ$1:AZ$76=$G11) ),
     ROW(SCHEDULE!CG$1:CG$76),
     ""
    ),COUNTIF($H$1:$H11,$H11)
  )
 ),"
Missing")</f>
        <v xml:space="preserve">
Missing</v>
      </c>
      <c r="BC11" s="210" t="str">
        <f t="array" ref="BC11">IFERROR(
 INDEX(
  SCHEDULE!$A$1:$A$76,
   SMALL(
   IF(
    (ISNUMBER(SEARCH("█",SCHEDULE!AZ$1:AZ$76)))*
   ( (SCHEDULE!AY$1:AY$76=$B11)+(SCHEDULE!AY$1:AY$76=$C11)+(SCHEDULE!AY$1:AY$76=$D11)+(SCHEDULE!AY$1:AY$76=$E11)+(SCHEDULE!AY$1:AY$76=$F11)+ (SCHEDULE!BA$1:BA$76=$G11) ),
     ROW(SCHEDULE!CH$1:CH$76),
     ""
    ),COUNTIF($H$1:$H11,$H11)
  )
 ),"
Missing")</f>
        <v xml:space="preserve">
Missing</v>
      </c>
      <c r="BD11" s="210" t="str">
        <f t="array" ref="BD11">IFERROR(
 INDEX(
  SCHEDULE!$A$1:$A$76,
   SMALL(
   IF(
    (ISNUMBER(SEARCH("█",SCHEDULE!BA$1:BA$76)))*
   ( (SCHEDULE!AZ$1:AZ$76=$B11)+(SCHEDULE!AZ$1:AZ$76=$C11)+(SCHEDULE!AZ$1:AZ$76=$D11)+(SCHEDULE!AZ$1:AZ$76=$E11)+(SCHEDULE!AZ$1:AZ$76=$F11)+ (SCHEDULE!BB$1:BB$76=$G11) ),
     ROW(SCHEDULE!CI$1:CI$76),
     ""
    ),COUNTIF($H$1:$H11,$H11)
  )
 ),"
Missing")</f>
        <v xml:space="preserve">
Missing</v>
      </c>
      <c r="BE11" s="210" t="str">
        <f t="array" ref="BE11">IFERROR(
 INDEX(
  SCHEDULE!$A$1:$A$76,
   SMALL(
   IF(
    (ISNUMBER(SEARCH("█",SCHEDULE!BB$1:BB$76)))*
   ( (SCHEDULE!BA$1:BA$76=$B11)+(SCHEDULE!BA$1:BA$76=$C11)+(SCHEDULE!BA$1:BA$76=$D11)+(SCHEDULE!BA$1:BA$76=$E11)+(SCHEDULE!BA$1:BA$76=$F11)+ (SCHEDULE!BC$1:BC$76=$G11) ),
     ROW(SCHEDULE!CJ$1:CJ$76),
     ""
    ),COUNTIF($H$1:$H11,$H11)
  )
 ),"
Missing")</f>
        <v>James Mitchell</v>
      </c>
    </row>
    <row r="12" spans="2:57" s="208" customFormat="1" x14ac:dyDescent="0.2">
      <c r="B12" s="227">
        <v>0.91666666666666663</v>
      </c>
      <c r="C12" s="227" t="s">
        <v>86</v>
      </c>
      <c r="D12" s="227"/>
      <c r="E12" s="227"/>
      <c r="F12" s="227"/>
      <c r="G12" s="227" t="s">
        <v>86</v>
      </c>
      <c r="H12" s="228" t="s">
        <v>29</v>
      </c>
      <c r="I12" s="210" t="str">
        <f t="array" ref="I12">IFERROR(
 INDEX(
  SCHEDULE!$A$1:$A$76,
   SMALL(
   IF(
    (ISNUMBER(SEARCH("█",SCHEDULE!F$1:F$76)))*
   ( (SCHEDULE!E$1:E$76=$B12)+(SCHEDULE!E$1:E$76=$C12)+(SCHEDULE!E$1:E$76=$D12)+(SCHEDULE!E$1:E$76=$E12)+(SCHEDULE!E$1:E$76=$F12)+ (SCHEDULE!G$1:G$76=$G12) ),
     ROW(SCHEDULE!AN$1:AN$76),
     ""
    ),COUNTIF($H$1:$H12,$H12)
  )
 ),"
Missing")</f>
        <v>Jason Melone</v>
      </c>
      <c r="J12" s="210" t="str">
        <f t="array" ref="J12">IFERROR(
 INDEX(
  SCHEDULE!$A$1:$A$76,
   SMALL(
   IF(
    (ISNUMBER(SEARCH("█",SCHEDULE!G$1:G$76)))*
   ( (SCHEDULE!F$1:F$76=$B12)+(SCHEDULE!F$1:F$76=$C12)+(SCHEDULE!F$1:F$76=$D12)+(SCHEDULE!F$1:F$76=$E12)+(SCHEDULE!F$1:F$76=$F12)+ (SCHEDULE!H$1:H$76=$G12) ),
     ROW(SCHEDULE!AO$1:AO$76),
     ""
    ),COUNTIF($H$1:$H12,$H12)
  )
 ),"
Missing")</f>
        <v xml:space="preserve">
Missing</v>
      </c>
      <c r="K12" s="210" t="str">
        <f t="array" ref="K12">IFERROR(
 INDEX(
  SCHEDULE!$A$1:$A$76,
   SMALL(
   IF(
    (ISNUMBER(SEARCH("█",SCHEDULE!H$1:H$76)))*
   ( (SCHEDULE!G$1:G$76=$B12)+(SCHEDULE!G$1:G$76=$C12)+(SCHEDULE!G$1:G$76=$D12)+(SCHEDULE!G$1:G$76=$E12)+(SCHEDULE!G$1:G$76=$F12)+ (SCHEDULE!I$1:I$76=$G12) ),
     ROW(SCHEDULE!AP$1:AP$76),
     ""
    ),COUNTIF($H$1:$H12,$H12)
  )
 ),"
Missing")</f>
        <v xml:space="preserve">
Missing</v>
      </c>
      <c r="L12" s="210" t="str">
        <f t="array" ref="L12">IFERROR(
 INDEX(
  SCHEDULE!$A$1:$A$76,
   SMALL(
   IF(
    (ISNUMBER(SEARCH("█",SCHEDULE!I$1:I$76)))*
   ( (SCHEDULE!H$1:H$76=$B12)+(SCHEDULE!H$1:H$76=$C12)+(SCHEDULE!H$1:H$76=$D12)+(SCHEDULE!H$1:H$76=$E12)+(SCHEDULE!H$1:H$76=$F12)+ (SCHEDULE!J$1:J$76=$G12) ),
     ROW(SCHEDULE!AQ$1:AQ$76),
     ""
    ),COUNTIF($H$1:$H12,$H12)
  )
 ),"
Missing")</f>
        <v xml:space="preserve">
Missing</v>
      </c>
      <c r="M12" s="210" t="str">
        <f t="array" ref="M12">IFERROR(
 INDEX(
  SCHEDULE!$A$1:$A$76,
   SMALL(
   IF(
    (ISNUMBER(SEARCH("█",SCHEDULE!J$1:J$76)))*
   ( (SCHEDULE!I$1:I$76=$B12)+(SCHEDULE!I$1:I$76=$C12)+(SCHEDULE!I$1:I$76=$D12)+(SCHEDULE!I$1:I$76=$E12)+(SCHEDULE!I$1:I$76=$F12)+ (SCHEDULE!K$1:K$76=$G12) ),
     ROW(SCHEDULE!AR$1:AR$76),
     ""
    ),COUNTIF($H$1:$H12,$H12)
  )
 ),"
Missing")</f>
        <v>Ryan Crimm</v>
      </c>
      <c r="N12" s="210" t="str">
        <f t="array" ref="N12">IFERROR(
 INDEX(
  SCHEDULE!$A$1:$A$76,
   SMALL(
   IF(
    (ISNUMBER(SEARCH("█",SCHEDULE!K$1:K$76)))*
   ( (SCHEDULE!J$1:J$76=$B12)+(SCHEDULE!J$1:J$76=$C12)+(SCHEDULE!J$1:J$76=$D12)+(SCHEDULE!J$1:J$76=$E12)+(SCHEDULE!J$1:J$76=$F12)+ (SCHEDULE!L$1:L$76=$G12) ),
     ROW(SCHEDULE!AS$1:AS$76),
     ""
    ),COUNTIF($H$1:$H12,$H12)
  )
 ),"
Missing")</f>
        <v xml:space="preserve">
Missing</v>
      </c>
      <c r="O12" s="210" t="str">
        <f t="array" ref="O12">IFERROR(
 INDEX(
  SCHEDULE!$A$1:$A$76,
   SMALL(
   IF(
    (ISNUMBER(SEARCH("█",SCHEDULE!L$1:L$76)))*
   ( (SCHEDULE!K$1:K$76=$B12)+(SCHEDULE!K$1:K$76=$C12)+(SCHEDULE!K$1:K$76=$D12)+(SCHEDULE!K$1:K$76=$E12)+(SCHEDULE!K$1:K$76=$F12)+ (SCHEDULE!M$1:M$76=$G12) ),
     ROW(SCHEDULE!AT$1:AT$76),
     ""
    ),COUNTIF($H$1:$H12,$H12)
  )
 ),"
Missing")</f>
        <v xml:space="preserve">
Missing</v>
      </c>
      <c r="P12" s="210" t="str">
        <f t="array" ref="P12">IFERROR(
 INDEX(
  SCHEDULE!$A$1:$A$76,
   SMALL(
   IF(
    (ISNUMBER(SEARCH("█",SCHEDULE!M$1:M$76)))*
   ( (SCHEDULE!L$1:L$76=$B12)+(SCHEDULE!L$1:L$76=$C12)+(SCHEDULE!L$1:L$76=$D12)+(SCHEDULE!L$1:L$76=$E12)+(SCHEDULE!L$1:L$76=$F12)+ (SCHEDULE!N$1:N$76=$G12) ),
     ROW(SCHEDULE!AU$1:AU$76),
     ""
    ),COUNTIF($H$1:$H12,$H12)
  )
 ),"
Missing")</f>
        <v>Ryan Crimm</v>
      </c>
      <c r="Q12" s="210" t="str">
        <f t="array" ref="Q12">IFERROR(
 INDEX(
  SCHEDULE!$A$1:$A$76,
   SMALL(
   IF(
    (ISNUMBER(SEARCH("█",SCHEDULE!N$1:N$76)))*
   ( (SCHEDULE!M$1:M$76=$B12)+(SCHEDULE!M$1:M$76=$C12)+(SCHEDULE!M$1:M$76=$D12)+(SCHEDULE!M$1:M$76=$E12)+(SCHEDULE!M$1:M$76=$F12)+ (SCHEDULE!O$1:O$76=$G12) ),
     ROW(SCHEDULE!AV$1:AV$76),
     ""
    ),COUNTIF($H$1:$H12,$H12)
  )
 ),"
Missing")</f>
        <v xml:space="preserve">
Missing</v>
      </c>
      <c r="R12" s="210" t="str">
        <f t="array" ref="R12">IFERROR(
 INDEX(
  SCHEDULE!$A$1:$A$76,
   SMALL(
   IF(
    (ISNUMBER(SEARCH("█",SCHEDULE!O$1:O$76)))*
   ( (SCHEDULE!N$1:N$76=$B12)+(SCHEDULE!N$1:N$76=$C12)+(SCHEDULE!N$1:N$76=$D12)+(SCHEDULE!N$1:N$76=$E12)+(SCHEDULE!N$1:N$76=$F12)+ (SCHEDULE!P$1:P$76=$G12) ),
     ROW(SCHEDULE!AW$1:AW$76),
     ""
    ),COUNTIF($H$1:$H12,$H12)
  )
 ),"
Missing")</f>
        <v xml:space="preserve">
Missing</v>
      </c>
      <c r="S12" s="210" t="str">
        <f t="array" ref="S12">IFERROR(
 INDEX(
  SCHEDULE!$A$1:$A$76,
   SMALL(
   IF(
    (ISNUMBER(SEARCH("█",SCHEDULE!P$1:P$76)))*
   ( (SCHEDULE!O$1:O$76=$B12)+(SCHEDULE!O$1:O$76=$C12)+(SCHEDULE!O$1:O$76=$D12)+(SCHEDULE!O$1:O$76=$E12)+(SCHEDULE!O$1:O$76=$F12)+ (SCHEDULE!Q$1:Q$76=$G12) ),
     ROW(SCHEDULE!AX$1:AX$76),
     ""
    ),COUNTIF($H$1:$H12,$H12)
  )
 ),"
Missing")</f>
        <v>Ryan Crimm</v>
      </c>
      <c r="T12" s="210" t="str">
        <f t="array" ref="T12">IFERROR(
 INDEX(
  SCHEDULE!$A$1:$A$76,
   SMALL(
   IF(
    (ISNUMBER(SEARCH("█",SCHEDULE!Q$1:Q$76)))*
   ( (SCHEDULE!P$1:P$76=$B12)+(SCHEDULE!P$1:P$76=$C12)+(SCHEDULE!P$1:P$76=$D12)+(SCHEDULE!P$1:P$76=$E12)+(SCHEDULE!P$1:P$76=$F12)+ (SCHEDULE!R$1:R$76=$G12) ),
     ROW(SCHEDULE!AY$1:AY$76),
     ""
    ),COUNTIF($H$1:$H12,$H12)
  )
 ),"
Missing")</f>
        <v xml:space="preserve">
Missing</v>
      </c>
      <c r="U12" s="210" t="str">
        <f t="array" ref="U12">IFERROR(
 INDEX(
  SCHEDULE!$A$1:$A$76,
   SMALL(
   IF(
    (ISNUMBER(SEARCH("█",SCHEDULE!R$1:R$76)))*
   ( (SCHEDULE!Q$1:Q$76=$B12)+(SCHEDULE!Q$1:Q$76=$C12)+(SCHEDULE!Q$1:Q$76=$D12)+(SCHEDULE!Q$1:Q$76=$E12)+(SCHEDULE!Q$1:Q$76=$F12)+ (SCHEDULE!S$1:S$76=$G12) ),
     ROW(SCHEDULE!AZ$1:AZ$76),
     ""
    ),COUNTIF($H$1:$H12,$H12)
  )
 ),"
Missing")</f>
        <v xml:space="preserve">
Missing</v>
      </c>
      <c r="V12" s="210" t="str">
        <f t="array" ref="V12">IFERROR(
 INDEX(
  SCHEDULE!$A$1:$A$76,
   SMALL(
   IF(
    (ISNUMBER(SEARCH("█",SCHEDULE!S$1:S$76)))*
   ( (SCHEDULE!R$1:R$76=$B12)+(SCHEDULE!R$1:R$76=$C12)+(SCHEDULE!R$1:R$76=$D12)+(SCHEDULE!R$1:R$76=$E12)+(SCHEDULE!R$1:R$76=$F12)+ (SCHEDULE!T$1:T$76=$G12) ),
     ROW(SCHEDULE!BA$1:BA$76),
     ""
    ),COUNTIF($H$1:$H12,$H12)
  )
 ),"
Missing")</f>
        <v>Taylor Stewart</v>
      </c>
      <c r="W12" s="210" t="str">
        <f t="array" ref="W12">IFERROR(
 INDEX(
  SCHEDULE!$A$1:$A$76,
   SMALL(
   IF(
    (ISNUMBER(SEARCH("█",SCHEDULE!T$1:T$76)))*
   ( (SCHEDULE!S$1:S$76=$B12)+(SCHEDULE!S$1:S$76=$C12)+(SCHEDULE!S$1:S$76=$D12)+(SCHEDULE!S$1:S$76=$E12)+(SCHEDULE!S$1:S$76=$F12)+ (SCHEDULE!U$1:U$76=$G12) ),
     ROW(SCHEDULE!BB$1:BB$76),
     ""
    ),COUNTIF($H$1:$H12,$H12)
  )
 ),"
Missing")</f>
        <v xml:space="preserve">
Missing</v>
      </c>
      <c r="X12" s="210" t="str">
        <f t="array" ref="X12">IFERROR(
 INDEX(
  SCHEDULE!$A$1:$A$76,
   SMALL(
   IF(
    (ISNUMBER(SEARCH("█",SCHEDULE!U$1:U$76)))*
   ( (SCHEDULE!T$1:T$76=$B12)+(SCHEDULE!T$1:T$76=$C12)+(SCHEDULE!T$1:T$76=$D12)+(SCHEDULE!T$1:T$76=$E12)+(SCHEDULE!T$1:T$76=$F12)+ (SCHEDULE!V$1:V$76=$G12) ),
     ROW(SCHEDULE!BC$1:BC$76),
     ""
    ),COUNTIF($H$1:$H12,$H12)
  )
 ),"
Missing")</f>
        <v xml:space="preserve">
Missing</v>
      </c>
      <c r="Y12" s="210" t="str">
        <f t="array" ref="Y12">IFERROR(
 INDEX(
  SCHEDULE!$A$1:$A$76,
   SMALL(
   IF(
    (ISNUMBER(SEARCH("█",SCHEDULE!V$1:V$76)))*
   ( (SCHEDULE!U$1:U$76=$B12)+(SCHEDULE!U$1:U$76=$C12)+(SCHEDULE!U$1:U$76=$D12)+(SCHEDULE!U$1:U$76=$E12)+(SCHEDULE!U$1:U$76=$F12)+ (SCHEDULE!W$1:W$76=$G12) ),
     ROW(SCHEDULE!BD$1:BD$76),
     ""
    ),COUNTIF($H$1:$H12,$H12)
  )
 ),"
Missing")</f>
        <v>Taylor Stewart</v>
      </c>
      <c r="Z12" s="210" t="str">
        <f t="array" ref="Z12">IFERROR(
 INDEX(
  SCHEDULE!$A$1:$A$76,
   SMALL(
   IF(
    (ISNUMBER(SEARCH("█",SCHEDULE!W$1:W$76)))*
   ( (SCHEDULE!V$1:V$76=$B12)+(SCHEDULE!V$1:V$76=$C12)+(SCHEDULE!V$1:V$76=$D12)+(SCHEDULE!V$1:V$76=$E12)+(SCHEDULE!V$1:V$76=$F12)+ (SCHEDULE!X$1:X$76=$G12) ),
     ROW(SCHEDULE!BE$1:BE$76),
     ""
    ),COUNTIF($H$1:$H12,$H12)
  )
 ),"
Missing")</f>
        <v xml:space="preserve">
Missing</v>
      </c>
      <c r="AA12" s="210" t="str">
        <f t="array" ref="AA12">IFERROR(
 INDEX(
  SCHEDULE!$A$1:$A$76,
   SMALL(
   IF(
    (ISNUMBER(SEARCH("█",SCHEDULE!X$1:X$76)))*
   ( (SCHEDULE!W$1:W$76=$B12)+(SCHEDULE!W$1:W$76=$C12)+(SCHEDULE!W$1:W$76=$D12)+(SCHEDULE!W$1:W$76=$E12)+(SCHEDULE!W$1:W$76=$F12)+ (SCHEDULE!Y$1:Y$76=$G12) ),
     ROW(SCHEDULE!BF$1:BF$76),
     ""
    ),COUNTIF($H$1:$H12,$H12)
  )
 ),"
Missing")</f>
        <v xml:space="preserve">
Missing</v>
      </c>
      <c r="AB12" s="210" t="str">
        <f t="array" ref="AB12">IFERROR(
 INDEX(
  SCHEDULE!$A$1:$A$76,
   SMALL(
   IF(
    (ISNUMBER(SEARCH("█",SCHEDULE!Y$1:Y$76)))*
   ( (SCHEDULE!X$1:X$76=$B12)+(SCHEDULE!X$1:X$76=$C12)+(SCHEDULE!X$1:X$76=$D12)+(SCHEDULE!X$1:X$76=$E12)+(SCHEDULE!X$1:X$76=$F12)+ (SCHEDULE!Z$1:Z$76=$G12) ),
     ROW(SCHEDULE!BG$1:BG$76),
     ""
    ),COUNTIF($H$1:$H12,$H12)
  )
 ),"
Missing")</f>
        <v>Paul Soares</v>
      </c>
      <c r="AC12" s="210" t="str">
        <f t="array" ref="AC12">IFERROR(
 INDEX(
  SCHEDULE!$A$1:$A$76,
   SMALL(
   IF(
    (ISNUMBER(SEARCH("█",SCHEDULE!Z$1:Z$76)))*
   ( (SCHEDULE!Y$1:Y$76=$B12)+(SCHEDULE!Y$1:Y$76=$C12)+(SCHEDULE!Y$1:Y$76=$D12)+(SCHEDULE!Y$1:Y$76=$E12)+(SCHEDULE!Y$1:Y$76=$F12)+ (SCHEDULE!AA$1:AA$76=$G12) ),
     ROW(SCHEDULE!BH$1:BH$76),
     ""
    ),COUNTIF($H$1:$H12,$H12)
  )
 ),"
Missing")</f>
        <v xml:space="preserve">
Missing</v>
      </c>
      <c r="AD12" s="210" t="str">
        <f t="array" ref="AD12">IFERROR(
 INDEX(
  SCHEDULE!$A$1:$A$76,
   SMALL(
   IF(
    (ISNUMBER(SEARCH("█",SCHEDULE!AA$1:AA$76)))*
   ( (SCHEDULE!Z$1:Z$76=$B12)+(SCHEDULE!Z$1:Z$76=$C12)+(SCHEDULE!Z$1:Z$76=$D12)+(SCHEDULE!Z$1:Z$76=$E12)+(SCHEDULE!Z$1:Z$76=$F12)+ (SCHEDULE!AB$1:AB$76=$G12) ),
     ROW(SCHEDULE!BI$1:BI$76),
     ""
    ),COUNTIF($H$1:$H12,$H12)
  )
 ),"
Missing")</f>
        <v xml:space="preserve">
Missing</v>
      </c>
      <c r="AE12" s="210" t="str">
        <f t="array" ref="AE12">IFERROR(
 INDEX(
  SCHEDULE!$A$1:$A$76,
   SMALL(
   IF(
    (ISNUMBER(SEARCH("█",SCHEDULE!AB$1:AB$76)))*
   ( (SCHEDULE!AA$1:AA$76=$B12)+(SCHEDULE!AA$1:AA$76=$C12)+(SCHEDULE!AA$1:AA$76=$D12)+(SCHEDULE!AA$1:AA$76=$E12)+(SCHEDULE!AA$1:AA$76=$F12)+ (SCHEDULE!AC$1:AC$76=$G12) ),
     ROW(SCHEDULE!BJ$1:BJ$76),
     ""
    ),COUNTIF($H$1:$H12,$H12)
  )
 ),"
Missing")</f>
        <v>Paul Soares</v>
      </c>
      <c r="AF12" s="210" t="str">
        <f t="array" ref="AF12">IFERROR(
 INDEX(
  SCHEDULE!$A$1:$A$76,
   SMALL(
   IF(
    (ISNUMBER(SEARCH("█",SCHEDULE!AC$1:AC$76)))*
   ( (SCHEDULE!AB$1:AB$76=$B12)+(SCHEDULE!AB$1:AB$76=$C12)+(SCHEDULE!AB$1:AB$76=$D12)+(SCHEDULE!AB$1:AB$76=$E12)+(SCHEDULE!AB$1:AB$76=$F12)+ (SCHEDULE!AD$1:AD$76=$G12) ),
     ROW(SCHEDULE!BK$1:BK$76),
     ""
    ),COUNTIF($H$1:$H12,$H12)
  )
 ),"
Missing")</f>
        <v xml:space="preserve">
Missing</v>
      </c>
      <c r="AG12" s="210" t="str">
        <f t="array" ref="AG12">IFERROR(
 INDEX(
  SCHEDULE!$A$1:$A$76,
   SMALL(
   IF(
    (ISNUMBER(SEARCH("█",SCHEDULE!AD$1:AD$76)))*
   ( (SCHEDULE!AC$1:AC$76=$B12)+(SCHEDULE!AC$1:AC$76=$C12)+(SCHEDULE!AC$1:AC$76=$D12)+(SCHEDULE!AC$1:AC$76=$E12)+(SCHEDULE!AC$1:AC$76=$F12)+ (SCHEDULE!AE$1:AE$76=$G12) ),
     ROW(SCHEDULE!BL$1:BL$76),
     ""
    ),COUNTIF($H$1:$H12,$H12)
  )
 ),"
Missing")</f>
        <v xml:space="preserve">
Missing</v>
      </c>
      <c r="AH12" s="210" t="str">
        <f t="array" ref="AH12">IFERROR(
 INDEX(
  SCHEDULE!$A$1:$A$76,
   SMALL(
   IF(
    (ISNUMBER(SEARCH("█",SCHEDULE!AE$1:AE$76)))*
   ( (SCHEDULE!AD$1:AD$76=$B12)+(SCHEDULE!AD$1:AD$76=$C12)+(SCHEDULE!AD$1:AD$76=$D12)+(SCHEDULE!AD$1:AD$76=$E12)+(SCHEDULE!AD$1:AD$76=$F12)+ (SCHEDULE!AF$1:AF$76=$G12) ),
     ROW(SCHEDULE!BM$1:BM$76),
     ""
    ),COUNTIF($H$1:$H12,$H12)
  )
 ),"
Missing")</f>
        <v xml:space="preserve">
Missing</v>
      </c>
      <c r="AI12" s="210" t="str">
        <f t="array" ref="AI12">IFERROR(
 INDEX(
  SCHEDULE!$A$1:$A$76,
   SMALL(
   IF(
    (ISNUMBER(SEARCH("█",SCHEDULE!AF$1:AF$76)))*
   ( (SCHEDULE!AE$1:AE$76=$B12)+(SCHEDULE!AE$1:AE$76=$C12)+(SCHEDULE!AE$1:AE$76=$D12)+(SCHEDULE!AE$1:AE$76=$E12)+(SCHEDULE!AE$1:AE$76=$F12)+ (SCHEDULE!AG$1:AG$76=$G12) ),
     ROW(SCHEDULE!BN$1:BN$76),
     ""
    ),COUNTIF($H$1:$H12,$H12)
  )
 ),"
Missing")</f>
        <v>Paul Soares</v>
      </c>
      <c r="AJ12" s="210" t="str">
        <f t="array" ref="AJ12">IFERROR(
 INDEX(
  SCHEDULE!$A$1:$A$76,
   SMALL(
   IF(
    (ISNUMBER(SEARCH("█",SCHEDULE!AG$1:AG$76)))*
   ( (SCHEDULE!AF$1:AF$76=$B12)+(SCHEDULE!AF$1:AF$76=$C12)+(SCHEDULE!AF$1:AF$76=$D12)+(SCHEDULE!AF$1:AF$76=$E12)+(SCHEDULE!AF$1:AF$76=$F12)+ (SCHEDULE!AH$1:AH$76=$G12) ),
     ROW(SCHEDULE!BO$1:BO$76),
     ""
    ),COUNTIF($H$1:$H12,$H12)
  )
 ),"
Missing")</f>
        <v xml:space="preserve">
Missing</v>
      </c>
      <c r="AK12" s="210" t="str">
        <f t="array" ref="AK12">IFERROR(
 INDEX(
  SCHEDULE!$A$1:$A$76,
   SMALL(
   IF(
    (ISNUMBER(SEARCH("█",SCHEDULE!AH$1:AH$76)))*
   ( (SCHEDULE!AG$1:AG$76=$B12)+(SCHEDULE!AG$1:AG$76=$C12)+(SCHEDULE!AG$1:AG$76=$D12)+(SCHEDULE!AG$1:AG$76=$E12)+(SCHEDULE!AG$1:AG$76=$F12)+ (SCHEDULE!AI$1:AI$76=$G12) ),
     ROW(SCHEDULE!BP$1:BP$76),
     ""
    ),COUNTIF($H$1:$H12,$H12)
  )
 ),"
Missing")</f>
        <v xml:space="preserve">
Missing</v>
      </c>
      <c r="AL12" s="210" t="str">
        <f t="array" ref="AL12">IFERROR(
 INDEX(
  SCHEDULE!$A$1:$A$76,
   SMALL(
   IF(
    (ISNUMBER(SEARCH("█",SCHEDULE!AI$1:AI$76)))*
   ( (SCHEDULE!AH$1:AH$76=$B12)+(SCHEDULE!AH$1:AH$76=$C12)+(SCHEDULE!AH$1:AH$76=$D12)+(SCHEDULE!AH$1:AH$76=$E12)+(SCHEDULE!AH$1:AH$76=$F12)+ (SCHEDULE!AJ$1:AJ$76=$G12) ),
     ROW(SCHEDULE!BQ$1:BQ$76),
     ""
    ),COUNTIF($H$1:$H12,$H12)
  )
 ),"
Missing")</f>
        <v>Ryan Crimm</v>
      </c>
      <c r="AM12" s="210" t="str">
        <f t="array" ref="AM12">IFERROR(
 INDEX(
  SCHEDULE!$A$1:$A$76,
   SMALL(
   IF(
    (ISNUMBER(SEARCH("█",SCHEDULE!AJ$1:AJ$76)))*
   ( (SCHEDULE!AI$1:AI$76=$B12)+(SCHEDULE!AI$1:AI$76=$C12)+(SCHEDULE!AI$1:AI$76=$D12)+(SCHEDULE!AI$1:AI$76=$E12)+(SCHEDULE!AI$1:AI$76=$F12)+ (SCHEDULE!AK$1:AK$76=$G12) ),
     ROW(SCHEDULE!BR$1:BR$76),
     ""
    ),COUNTIF($H$1:$H12,$H12)
  )
 ),"
Missing")</f>
        <v xml:space="preserve">
Missing</v>
      </c>
      <c r="AN12" s="210" t="str">
        <f t="array" ref="AN12">IFERROR(
 INDEX(
  SCHEDULE!$A$1:$A$76,
   SMALL(
   IF(
    (ISNUMBER(SEARCH("█",SCHEDULE!AK$1:AK$76)))*
   ( (SCHEDULE!AJ$1:AJ$76=$B12)+(SCHEDULE!AJ$1:AJ$76=$C12)+(SCHEDULE!AJ$1:AJ$76=$D12)+(SCHEDULE!AJ$1:AJ$76=$E12)+(SCHEDULE!AJ$1:AJ$76=$F12)+ (SCHEDULE!AL$1:AL$76=$G12) ),
     ROW(SCHEDULE!BS$1:BS$76),
     ""
    ),COUNTIF($H$1:$H12,$H12)
  )
 ),"
Missing")</f>
        <v xml:space="preserve">
Missing</v>
      </c>
      <c r="AO12" s="210" t="str">
        <f t="array" ref="AO12">IFERROR(
 INDEX(
  SCHEDULE!$A$1:$A$76,
   SMALL(
   IF(
    (ISNUMBER(SEARCH("█",SCHEDULE!AL$1:AL$76)))*
   ( (SCHEDULE!AK$1:AK$76=$B12)+(SCHEDULE!AK$1:AK$76=$C12)+(SCHEDULE!AK$1:AK$76=$D12)+(SCHEDULE!AK$1:AK$76=$E12)+(SCHEDULE!AK$1:AK$76=$F12)+ (SCHEDULE!AM$1:AM$76=$G12) ),
     ROW(SCHEDULE!BT$1:BT$76),
     ""
    ),COUNTIF($H$1:$H12,$H12)
  )
 ),"
Missing")</f>
        <v>Ryan Crimm</v>
      </c>
      <c r="AP12" s="210" t="str">
        <f t="array" ref="AP12">IFERROR(
 INDEX(
  SCHEDULE!$A$1:$A$76,
   SMALL(
   IF(
    (ISNUMBER(SEARCH("█",SCHEDULE!AM$1:AM$76)))*
   ( (SCHEDULE!AL$1:AL$76=$B12)+(SCHEDULE!AL$1:AL$76=$C12)+(SCHEDULE!AL$1:AL$76=$D12)+(SCHEDULE!AL$1:AL$76=$E12)+(SCHEDULE!AL$1:AL$76=$F12)+ (SCHEDULE!AN$1:AN$76=$G12) ),
     ROW(SCHEDULE!BU$1:BU$76),
     ""
    ),COUNTIF($H$1:$H12,$H12)
  )
 ),"
Missing")</f>
        <v xml:space="preserve">
Missing</v>
      </c>
      <c r="AQ12" s="210" t="str">
        <f t="array" ref="AQ12">IFERROR(
 INDEX(
  SCHEDULE!$A$1:$A$76,
   SMALL(
   IF(
    (ISNUMBER(SEARCH("█",SCHEDULE!AN$1:AN$76)))*
   ( (SCHEDULE!AM$1:AM$76=$B12)+(SCHEDULE!AM$1:AM$76=$C12)+(SCHEDULE!AM$1:AM$76=$D12)+(SCHEDULE!AM$1:AM$76=$E12)+(SCHEDULE!AM$1:AM$76=$F12)+ (SCHEDULE!AO$1:AO$76=$G12) ),
     ROW(SCHEDULE!BV$1:BV$76),
     ""
    ),COUNTIF($H$1:$H12,$H12)
  )
 ),"
Missing")</f>
        <v xml:space="preserve">
Missing</v>
      </c>
      <c r="AR12" s="210" t="str">
        <f t="array" ref="AR12">IFERROR(
 INDEX(
  SCHEDULE!$A$1:$A$76,
   SMALL(
   IF(
    (ISNUMBER(SEARCH("█",SCHEDULE!AO$1:AO$76)))*
   ( (SCHEDULE!AN$1:AN$76=$B12)+(SCHEDULE!AN$1:AN$76=$C12)+(SCHEDULE!AN$1:AN$76=$D12)+(SCHEDULE!AN$1:AN$76=$E12)+(SCHEDULE!AN$1:AN$76=$F12)+ (SCHEDULE!AP$1:AP$76=$G12) ),
     ROW(SCHEDULE!BW$1:BW$76),
     ""
    ),COUNTIF($H$1:$H12,$H12)
  )
 ),"
Missing")</f>
        <v>Ryan Crimm</v>
      </c>
      <c r="AS12" s="210" t="str">
        <f t="array" ref="AS12">IFERROR(
 INDEX(
  SCHEDULE!$A$1:$A$76,
   SMALL(
   IF(
    (ISNUMBER(SEARCH("█",SCHEDULE!AP$1:AP$76)))*
   ( (SCHEDULE!AO$1:AO$76=$B12)+(SCHEDULE!AO$1:AO$76=$C12)+(SCHEDULE!AO$1:AO$76=$D12)+(SCHEDULE!AO$1:AO$76=$E12)+(SCHEDULE!AO$1:AO$76=$F12)+ (SCHEDULE!AQ$1:AQ$76=$G12) ),
     ROW(SCHEDULE!BX$1:BX$76),
     ""
    ),COUNTIF($H$1:$H12,$H12)
  )
 ),"
Missing")</f>
        <v xml:space="preserve">
Missing</v>
      </c>
      <c r="AT12" s="210" t="str">
        <f t="array" ref="AT12">IFERROR(
 INDEX(
  SCHEDULE!$A$1:$A$76,
   SMALL(
   IF(
    (ISNUMBER(SEARCH("█",SCHEDULE!AQ$1:AQ$76)))*
   ( (SCHEDULE!AP$1:AP$76=$B12)+(SCHEDULE!AP$1:AP$76=$C12)+(SCHEDULE!AP$1:AP$76=$D12)+(SCHEDULE!AP$1:AP$76=$E12)+(SCHEDULE!AP$1:AP$76=$F12)+ (SCHEDULE!AR$1:AR$76=$G12) ),
     ROW(SCHEDULE!BY$1:BY$76),
     ""
    ),COUNTIF($H$1:$H12,$H12)
  )
 ),"
Missing")</f>
        <v xml:space="preserve">
Missing</v>
      </c>
      <c r="AU12" s="210" t="str">
        <f t="array" ref="AU12">IFERROR(
 INDEX(
  SCHEDULE!$A$1:$A$76,
   SMALL(
   IF(
    (ISNUMBER(SEARCH("█",SCHEDULE!AR$1:AR$76)))*
   ( (SCHEDULE!AQ$1:AQ$76=$B12)+(SCHEDULE!AQ$1:AQ$76=$C12)+(SCHEDULE!AQ$1:AQ$76=$D12)+(SCHEDULE!AQ$1:AQ$76=$E12)+(SCHEDULE!AQ$1:AQ$76=$F12)+ (SCHEDULE!AS$1:AS$76=$G12) ),
     ROW(SCHEDULE!BZ$1:BZ$76),
     ""
    ),COUNTIF($H$1:$H12,$H12)
  )
 ),"
Missing")</f>
        <v>Ryan Crimm</v>
      </c>
      <c r="AV12" s="210" t="str">
        <f t="array" ref="AV12">IFERROR(
 INDEX(
  SCHEDULE!$A$1:$A$76,
   SMALL(
   IF(
    (ISNUMBER(SEARCH("█",SCHEDULE!AS$1:AS$76)))*
   ( (SCHEDULE!AR$1:AR$76=$B12)+(SCHEDULE!AR$1:AR$76=$C12)+(SCHEDULE!AR$1:AR$76=$D12)+(SCHEDULE!AR$1:AR$76=$E12)+(SCHEDULE!AR$1:AR$76=$F12)+ (SCHEDULE!AT$1:AT$76=$G12) ),
     ROW(SCHEDULE!CA$1:CA$76),
     ""
    ),COUNTIF($H$1:$H12,$H12)
  )
 ),"
Missing")</f>
        <v xml:space="preserve">
Missing</v>
      </c>
      <c r="AW12" s="210" t="str">
        <f t="array" ref="AW12">IFERROR(
 INDEX(
  SCHEDULE!$A$1:$A$76,
   SMALL(
   IF(
    (ISNUMBER(SEARCH("█",SCHEDULE!AT$1:AT$76)))*
   ( (SCHEDULE!AS$1:AS$76=$B12)+(SCHEDULE!AS$1:AS$76=$C12)+(SCHEDULE!AS$1:AS$76=$D12)+(SCHEDULE!AS$1:AS$76=$E12)+(SCHEDULE!AS$1:AS$76=$F12)+ (SCHEDULE!AU$1:AU$76=$G12) ),
     ROW(SCHEDULE!CB$1:CB$76),
     ""
    ),COUNTIF($H$1:$H12,$H12)
  )
 ),"
Missing")</f>
        <v xml:space="preserve">
Missing</v>
      </c>
      <c r="AX12" s="210" t="str">
        <f t="array" ref="AX12">IFERROR(
 INDEX(
  SCHEDULE!$A$1:$A$76,
   SMALL(
   IF(
    (ISNUMBER(SEARCH("█",SCHEDULE!AU$1:AU$76)))*
   ( (SCHEDULE!AT$1:AT$76=$B12)+(SCHEDULE!AT$1:AT$76=$C12)+(SCHEDULE!AT$1:AT$76=$D12)+(SCHEDULE!AT$1:AT$76=$E12)+(SCHEDULE!AT$1:AT$76=$F12)+ (SCHEDULE!AV$1:AV$76=$G12) ),
     ROW(SCHEDULE!CC$1:CC$76),
     ""
    ),COUNTIF($H$1:$H12,$H12)
  )
 ),"
Missing")</f>
        <v>Paul Soares</v>
      </c>
      <c r="AY12" s="210" t="str">
        <f t="array" ref="AY12">IFERROR(
 INDEX(
  SCHEDULE!$A$1:$A$76,
   SMALL(
   IF(
    (ISNUMBER(SEARCH("█",SCHEDULE!AV$1:AV$76)))*
   ( (SCHEDULE!AU$1:AU$76=$B12)+(SCHEDULE!AU$1:AU$76=$C12)+(SCHEDULE!AU$1:AU$76=$D12)+(SCHEDULE!AU$1:AU$76=$E12)+(SCHEDULE!AU$1:AU$76=$F12)+ (SCHEDULE!AW$1:AW$76=$G12) ),
     ROW(SCHEDULE!CD$1:CD$76),
     ""
    ),COUNTIF($H$1:$H12,$H12)
  )
 ),"
Missing")</f>
        <v xml:space="preserve">
Missing</v>
      </c>
      <c r="AZ12" s="210" t="str">
        <f t="array" ref="AZ12">IFERROR(
 INDEX(
  SCHEDULE!$A$1:$A$76,
   SMALL(
   IF(
    (ISNUMBER(SEARCH("█",SCHEDULE!AW$1:AW$76)))*
   ( (SCHEDULE!AV$1:AV$76=$B12)+(SCHEDULE!AV$1:AV$76=$C12)+(SCHEDULE!AV$1:AV$76=$D12)+(SCHEDULE!AV$1:AV$76=$E12)+(SCHEDULE!AV$1:AV$76=$F12)+ (SCHEDULE!AX$1:AX$76=$G12) ),
     ROW(SCHEDULE!CE$1:CE$76),
     ""
    ),COUNTIF($H$1:$H12,$H12)
  )
 ),"
Missing")</f>
        <v xml:space="preserve">
Missing</v>
      </c>
      <c r="BA12" s="210" t="str">
        <f t="array" ref="BA12">IFERROR(
 INDEX(
  SCHEDULE!$A$1:$A$76,
   SMALL(
   IF(
    (ISNUMBER(SEARCH("█",SCHEDULE!AX$1:AX$76)))*
   ( (SCHEDULE!AW$1:AW$76=$B12)+(SCHEDULE!AW$1:AW$76=$C12)+(SCHEDULE!AW$1:AW$76=$D12)+(SCHEDULE!AW$1:AW$76=$E12)+(SCHEDULE!AW$1:AW$76=$F12)+ (SCHEDULE!AY$1:AY$76=$G12) ),
     ROW(SCHEDULE!CF$1:CF$76),
     ""
    ),COUNTIF($H$1:$H12,$H12)
  )
 ),"
Missing")</f>
        <v>Paul Soares</v>
      </c>
      <c r="BB12" s="210" t="str">
        <f t="array" ref="BB12">IFERROR(
 INDEX(
  SCHEDULE!$A$1:$A$76,
   SMALL(
   IF(
    (ISNUMBER(SEARCH("█",SCHEDULE!AY$1:AY$76)))*
   ( (SCHEDULE!AX$1:AX$76=$B12)+(SCHEDULE!AX$1:AX$76=$C12)+(SCHEDULE!AX$1:AX$76=$D12)+(SCHEDULE!AX$1:AX$76=$E12)+(SCHEDULE!AX$1:AX$76=$F12)+ (SCHEDULE!AZ$1:AZ$76=$G12) ),
     ROW(SCHEDULE!CG$1:CG$76),
     ""
    ),COUNTIF($H$1:$H12,$H12)
  )
 ),"
Missing")</f>
        <v xml:space="preserve">
Missing</v>
      </c>
      <c r="BC12" s="210" t="str">
        <f t="array" ref="BC12">IFERROR(
 INDEX(
  SCHEDULE!$A$1:$A$76,
   SMALL(
   IF(
    (ISNUMBER(SEARCH("█",SCHEDULE!AZ$1:AZ$76)))*
   ( (SCHEDULE!AY$1:AY$76=$B12)+(SCHEDULE!AY$1:AY$76=$C12)+(SCHEDULE!AY$1:AY$76=$D12)+(SCHEDULE!AY$1:AY$76=$E12)+(SCHEDULE!AY$1:AY$76=$F12)+ (SCHEDULE!BA$1:BA$76=$G12) ),
     ROW(SCHEDULE!CH$1:CH$76),
     ""
    ),COUNTIF($H$1:$H12,$H12)
  )
 ),"
Missing")</f>
        <v xml:space="preserve">
Missing</v>
      </c>
      <c r="BD12" s="210" t="str">
        <f t="array" ref="BD12">IFERROR(
 INDEX(
  SCHEDULE!$A$1:$A$76,
   SMALL(
   IF(
    (ISNUMBER(SEARCH("█",SCHEDULE!BA$1:BA$76)))*
   ( (SCHEDULE!AZ$1:AZ$76=$B12)+(SCHEDULE!AZ$1:AZ$76=$C12)+(SCHEDULE!AZ$1:AZ$76=$D12)+(SCHEDULE!AZ$1:AZ$76=$E12)+(SCHEDULE!AZ$1:AZ$76=$F12)+ (SCHEDULE!BB$1:BB$76=$G12) ),
     ROW(SCHEDULE!CI$1:CI$76),
     ""
    ),COUNTIF($H$1:$H12,$H12)
  )
 ),"
Missing")</f>
        <v xml:space="preserve">
Missing</v>
      </c>
      <c r="BE12" s="210" t="str">
        <f t="array" ref="BE12">IFERROR(
 INDEX(
  SCHEDULE!$A$1:$A$76,
   SMALL(
   IF(
    (ISNUMBER(SEARCH("█",SCHEDULE!BB$1:BB$76)))*
   ( (SCHEDULE!BA$1:BA$76=$B12)+(SCHEDULE!BA$1:BA$76=$C12)+(SCHEDULE!BA$1:BA$76=$D12)+(SCHEDULE!BA$1:BA$76=$E12)+(SCHEDULE!BA$1:BA$76=$F12)+ (SCHEDULE!BC$1:BC$76=$G12) ),
     ROW(SCHEDULE!CJ$1:CJ$76),
     ""
    ),COUNTIF($H$1:$H12,$H12)
  )
 ),"
Missing")</f>
        <v>Ryan Crimm</v>
      </c>
    </row>
    <row r="15" spans="2:57" ht="13.5" thickBot="1" x14ac:dyDescent="0.25"/>
    <row r="16" spans="2:57" x14ac:dyDescent="0.2">
      <c r="B16" s="195" t="s">
        <v>123</v>
      </c>
      <c r="G16" s="195" t="s">
        <v>124</v>
      </c>
      <c r="H16" s="196" t="s">
        <v>222</v>
      </c>
      <c r="I16" s="197">
        <f>SCHEDULE!E1</f>
        <v>42588</v>
      </c>
      <c r="J16" s="198">
        <f>SCHEDULE!F1</f>
        <v>0</v>
      </c>
      <c r="K16" s="197">
        <f>SCHEDULE!G1</f>
        <v>0</v>
      </c>
      <c r="L16" s="199">
        <f>SCHEDULE!H1</f>
        <v>0</v>
      </c>
      <c r="M16" s="197">
        <f>SCHEDULE!I1</f>
        <v>42589</v>
      </c>
      <c r="N16" s="198">
        <f>SCHEDULE!J1</f>
        <v>0</v>
      </c>
      <c r="O16" s="199">
        <f>SCHEDULE!K1</f>
        <v>0</v>
      </c>
      <c r="P16" s="197">
        <f>SCHEDULE!L1</f>
        <v>42590</v>
      </c>
      <c r="Q16" s="198">
        <f>SCHEDULE!M1</f>
        <v>0</v>
      </c>
      <c r="R16" s="199">
        <f>SCHEDULE!N1</f>
        <v>0</v>
      </c>
      <c r="S16" s="197">
        <f>SCHEDULE!O1</f>
        <v>42591</v>
      </c>
      <c r="T16" s="198">
        <f>SCHEDULE!P1</f>
        <v>0</v>
      </c>
      <c r="U16" s="199">
        <f>SCHEDULE!Q1</f>
        <v>0</v>
      </c>
      <c r="V16" s="197">
        <f>SCHEDULE!R1</f>
        <v>42592</v>
      </c>
      <c r="W16" s="198">
        <f>SCHEDULE!S1</f>
        <v>0</v>
      </c>
      <c r="X16" s="199">
        <f>SCHEDULE!T1</f>
        <v>0</v>
      </c>
      <c r="Y16" s="197">
        <f>SCHEDULE!U1</f>
        <v>42593</v>
      </c>
      <c r="Z16" s="198">
        <f>SCHEDULE!V1</f>
        <v>0</v>
      </c>
      <c r="AA16" s="199">
        <f>SCHEDULE!W1</f>
        <v>0</v>
      </c>
      <c r="AB16" s="197">
        <f>SCHEDULE!X1</f>
        <v>42594</v>
      </c>
      <c r="AC16" s="198">
        <f>SCHEDULE!Y1</f>
        <v>0</v>
      </c>
      <c r="AD16" s="199">
        <f>SCHEDULE!Z1</f>
        <v>0</v>
      </c>
      <c r="AE16" s="197">
        <f>SCHEDULE!AA1</f>
        <v>42595</v>
      </c>
      <c r="AF16" s="198">
        <f>SCHEDULE!AB1</f>
        <v>0</v>
      </c>
      <c r="AG16" s="199">
        <f>SCHEDULE!AC1</f>
        <v>0</v>
      </c>
      <c r="AH16" s="199">
        <f>SCHEDULE!AD1</f>
        <v>0</v>
      </c>
      <c r="AI16" s="199">
        <f>SCHEDULE!AE1</f>
        <v>42596</v>
      </c>
      <c r="AJ16" s="199">
        <f>SCHEDULE!AF1</f>
        <v>0</v>
      </c>
      <c r="AK16" s="199">
        <f>SCHEDULE!AG1</f>
        <v>0</v>
      </c>
      <c r="AL16" s="197">
        <f>SCHEDULE!AH1</f>
        <v>42597</v>
      </c>
      <c r="AM16" s="198">
        <f>SCHEDULE!AI1</f>
        <v>0</v>
      </c>
      <c r="AN16" s="199">
        <f>SCHEDULE!AJ1</f>
        <v>0</v>
      </c>
      <c r="AO16" s="199">
        <f>SCHEDULE!AK1</f>
        <v>42598</v>
      </c>
      <c r="AP16" s="199">
        <f>SCHEDULE!AL1</f>
        <v>0</v>
      </c>
      <c r="AQ16" s="199">
        <f>SCHEDULE!AM1</f>
        <v>0</v>
      </c>
      <c r="AR16" s="197">
        <f>SCHEDULE!AN1</f>
        <v>42599</v>
      </c>
      <c r="AS16" s="198">
        <f>SCHEDULE!AO1</f>
        <v>0</v>
      </c>
      <c r="AT16" s="199">
        <f>SCHEDULE!AP1</f>
        <v>0</v>
      </c>
      <c r="AU16" s="199">
        <f>SCHEDULE!AQ1</f>
        <v>42600</v>
      </c>
      <c r="AV16" s="199">
        <f>SCHEDULE!AR1</f>
        <v>0</v>
      </c>
      <c r="AW16" s="199">
        <f>SCHEDULE!AS1</f>
        <v>0</v>
      </c>
      <c r="AX16" s="197">
        <f>SCHEDULE!AT1</f>
        <v>42601</v>
      </c>
      <c r="AY16" s="198">
        <f>SCHEDULE!AU1</f>
        <v>0</v>
      </c>
      <c r="AZ16" s="199">
        <f>SCHEDULE!AV1</f>
        <v>0</v>
      </c>
      <c r="BA16" s="199">
        <f>SCHEDULE!AW1</f>
        <v>42602</v>
      </c>
      <c r="BB16" s="199">
        <f>SCHEDULE!AX1</f>
        <v>0</v>
      </c>
      <c r="BC16" s="199">
        <f>SCHEDULE!AY1</f>
        <v>0</v>
      </c>
      <c r="BD16" s="199">
        <f>SCHEDULE!AZ1</f>
        <v>0</v>
      </c>
      <c r="BE16" s="197">
        <f>SCHEDULE!BA1</f>
        <v>42603</v>
      </c>
    </row>
    <row r="17" spans="2:57" ht="13.5" thickBot="1" x14ac:dyDescent="0.25">
      <c r="H17" s="200"/>
      <c r="I17" s="325" t="str">
        <f>SCHEDULE!E2</f>
        <v>Saturday</v>
      </c>
      <c r="J17" s="326">
        <f>SCHEDULE!F2</f>
        <v>0</v>
      </c>
      <c r="K17" s="327">
        <f>SCHEDULE!G2</f>
        <v>0</v>
      </c>
      <c r="L17" s="202">
        <f>SCHEDULE!H2</f>
        <v>0</v>
      </c>
      <c r="M17" s="201" t="str">
        <f>SCHEDULE!I2</f>
        <v>Sunday</v>
      </c>
      <c r="N17" s="202">
        <f>SCHEDULE!J2</f>
        <v>0</v>
      </c>
      <c r="O17" s="202">
        <f>SCHEDULE!K2</f>
        <v>0</v>
      </c>
      <c r="P17" s="201" t="str">
        <f>SCHEDULE!L2</f>
        <v>Monday</v>
      </c>
      <c r="Q17" s="202">
        <f>SCHEDULE!M2</f>
        <v>0</v>
      </c>
      <c r="R17" s="202">
        <f>SCHEDULE!N2</f>
        <v>0</v>
      </c>
      <c r="S17" s="201" t="str">
        <f>SCHEDULE!O2</f>
        <v>Tuesday</v>
      </c>
      <c r="T17" s="202">
        <f>SCHEDULE!P2</f>
        <v>0</v>
      </c>
      <c r="U17" s="202">
        <f>SCHEDULE!Q2</f>
        <v>0</v>
      </c>
      <c r="V17" s="201" t="str">
        <f>SCHEDULE!R2</f>
        <v>Wednesday</v>
      </c>
      <c r="W17" s="202">
        <f>SCHEDULE!S2</f>
        <v>0</v>
      </c>
      <c r="X17" s="202">
        <f>SCHEDULE!T2</f>
        <v>0</v>
      </c>
      <c r="Y17" s="201" t="str">
        <f>SCHEDULE!U2</f>
        <v>Thursday</v>
      </c>
      <c r="Z17" s="202">
        <f>SCHEDULE!V2</f>
        <v>0</v>
      </c>
      <c r="AA17" s="202">
        <f>SCHEDULE!W2</f>
        <v>0</v>
      </c>
      <c r="AB17" s="201" t="str">
        <f>SCHEDULE!X2</f>
        <v>Friday</v>
      </c>
      <c r="AC17" s="202">
        <f>SCHEDULE!Y2</f>
        <v>0</v>
      </c>
      <c r="AD17" s="202">
        <f>SCHEDULE!Z2</f>
        <v>0</v>
      </c>
      <c r="AE17" s="201" t="str">
        <f>SCHEDULE!AA2</f>
        <v>Saturday</v>
      </c>
      <c r="AF17" s="202">
        <f>SCHEDULE!AB2</f>
        <v>0</v>
      </c>
      <c r="AG17" s="202">
        <f>SCHEDULE!AC2</f>
        <v>0</v>
      </c>
      <c r="AH17" s="202">
        <f>SCHEDULE!AD2</f>
        <v>0</v>
      </c>
      <c r="AI17" s="202" t="str">
        <f>SCHEDULE!AE2</f>
        <v>Sunday</v>
      </c>
      <c r="AJ17" s="202">
        <f>SCHEDULE!AF2</f>
        <v>0</v>
      </c>
      <c r="AK17" s="202">
        <f>SCHEDULE!AG2</f>
        <v>0</v>
      </c>
      <c r="AL17" s="201" t="str">
        <f>SCHEDULE!AH2</f>
        <v>Monday</v>
      </c>
      <c r="AM17" s="202">
        <f>SCHEDULE!AI2</f>
        <v>0</v>
      </c>
      <c r="AN17" s="202">
        <f>SCHEDULE!AJ2</f>
        <v>0</v>
      </c>
      <c r="AO17" s="202" t="str">
        <f>SCHEDULE!AK2</f>
        <v>Tuesday</v>
      </c>
      <c r="AP17" s="202">
        <f>SCHEDULE!AL2</f>
        <v>0</v>
      </c>
      <c r="AQ17" s="202">
        <f>SCHEDULE!AM2</f>
        <v>0</v>
      </c>
      <c r="AR17" s="201" t="str">
        <f>SCHEDULE!AN2</f>
        <v>Wednesday</v>
      </c>
      <c r="AS17" s="202">
        <f>SCHEDULE!AO2</f>
        <v>0</v>
      </c>
      <c r="AT17" s="202">
        <f>SCHEDULE!AP2</f>
        <v>0</v>
      </c>
      <c r="AU17" s="202" t="str">
        <f>SCHEDULE!AQ2</f>
        <v>Thursday</v>
      </c>
      <c r="AV17" s="202">
        <f>SCHEDULE!AR2</f>
        <v>0</v>
      </c>
      <c r="AW17" s="202">
        <f>SCHEDULE!AS2</f>
        <v>0</v>
      </c>
      <c r="AX17" s="201" t="str">
        <f>SCHEDULE!AT2</f>
        <v>Friday</v>
      </c>
      <c r="AY17" s="202">
        <f>SCHEDULE!AU2</f>
        <v>0</v>
      </c>
      <c r="AZ17" s="202">
        <f>SCHEDULE!AV2</f>
        <v>0</v>
      </c>
      <c r="BA17" s="202" t="str">
        <f>SCHEDULE!AW2</f>
        <v>Saturday</v>
      </c>
      <c r="BB17" s="202">
        <f>SCHEDULE!AX2</f>
        <v>0</v>
      </c>
      <c r="BC17" s="202">
        <f>SCHEDULE!AY2</f>
        <v>0</v>
      </c>
      <c r="BD17" s="202">
        <f>SCHEDULE!AZ2</f>
        <v>0</v>
      </c>
      <c r="BE17" s="201" t="str">
        <f>SCHEDULE!BA2</f>
        <v>Sunday</v>
      </c>
    </row>
    <row r="18" spans="2:57" x14ac:dyDescent="0.2">
      <c r="B18" s="203">
        <v>0.25</v>
      </c>
      <c r="C18" s="203" t="s">
        <v>105</v>
      </c>
      <c r="D18" s="203"/>
      <c r="E18" s="203"/>
      <c r="F18" s="203"/>
      <c r="G18" s="203" t="s">
        <v>89</v>
      </c>
      <c r="H18" s="204" t="s">
        <v>102</v>
      </c>
      <c r="I18" s="210" t="str">
        <f t="array" ref="I18">IFERROR(
 INDEX(
  SCHEDULE!$A$1:$A$76,
   SMALL(
   IF(
    (ISNUMBER(SEARCH("A",SCHEDULE!F$1:F$76)))*
   ( (SCHEDULE!E$1:E$76=$B18)+(SCHEDULE!E$1:E$76=$C18)+(SCHEDULE!E$1:E$76=$D18)+(SCHEDULE!E$1:E$76=$E18)+(SCHEDULE!E$1:E$76=$F18)+ (SCHEDULE!G$1:G$76=$G18) ),
     ROW(SCHEDULE!AN$1:AN$76),
     ""
    ),COUNTIF($H$18:$H18,$H18)
  )
 ),"
Missing")</f>
        <v>Gabe Partridge</v>
      </c>
      <c r="J18" s="210" t="str">
        <f t="array" ref="J18">IFERROR(
 INDEX(
  SCHEDULE!$A$1:$A$76,
   SMALL(
   IF(
    (ISNUMBER(SEARCH("A",SCHEDULE!G$1:G$76)))*
   ( (SCHEDULE!F$1:F$76=$B18)+(SCHEDULE!F$1:F$76=$C18)+(SCHEDULE!F$1:F$76=$D18)+(SCHEDULE!F$1:F$76=$E18)+(SCHEDULE!F$1:F$76=$F18)+ (SCHEDULE!H$1:H$76=$G18) ),
     ROW(SCHEDULE!AO$1:AO$76),
     ""
    ),COUNTIF($H$18:$H18,$H18)
  )
 ),"
Missing")</f>
        <v xml:space="preserve">
Missing</v>
      </c>
      <c r="K18" s="210" t="str">
        <f t="array" ref="K18">IFERROR(
 INDEX(
  SCHEDULE!$A$1:$A$76,
   SMALL(
   IF(
    (ISNUMBER(SEARCH("A",SCHEDULE!H$1:H$76)))*
   ( (SCHEDULE!G$1:G$76=$B18)+(SCHEDULE!G$1:G$76=$C18)+(SCHEDULE!G$1:G$76=$D18)+(SCHEDULE!G$1:G$76=$E18)+(SCHEDULE!G$1:G$76=$F18)+ (SCHEDULE!I$1:I$76=$G18) ),
     ROW(SCHEDULE!AP$1:AP$76),
     ""
    ),COUNTIF($H$18:$H18,$H18)
  )
 ),"
Missing")</f>
        <v xml:space="preserve">
Missing</v>
      </c>
      <c r="L18" s="210" t="str">
        <f t="array" ref="L18">IFERROR(
 INDEX(
  SCHEDULE!$A$1:$A$76,
   SMALL(
   IF(
    (ISNUMBER(SEARCH("A",SCHEDULE!I$1:I$76)))*
   ( (SCHEDULE!H$1:H$76=$B18)+(SCHEDULE!H$1:H$76=$C18)+(SCHEDULE!H$1:H$76=$D18)+(SCHEDULE!H$1:H$76=$E18)+(SCHEDULE!H$1:H$76=$F18)+ (SCHEDULE!J$1:J$76=$G18) ),
     ROW(SCHEDULE!AQ$1:AQ$76),
     ""
    ),COUNTIF($H$18:$H18,$H18)
  )
 ),"
Missing")</f>
        <v>Date Range</v>
      </c>
      <c r="M18" s="210" t="str">
        <f t="array" ref="M18">IFERROR(
 INDEX(
  SCHEDULE!$A$1:$A$76,
   SMALL(
   IF(
    (ISNUMBER(SEARCH("A",SCHEDULE!J$1:J$76)))*
   ( (SCHEDULE!I$1:I$76=$B18)+(SCHEDULE!I$1:I$76=$C18)+(SCHEDULE!I$1:I$76=$D18)+(SCHEDULE!I$1:I$76=$E18)+(SCHEDULE!I$1:I$76=$F18)+ (SCHEDULE!K$1:K$76=$G18) ),
     ROW(SCHEDULE!AR$1:AR$76),
     ""
    ),COUNTIF($H$18:$H18,$H18)
  )
 ),"
Missing")</f>
        <v>Johan Scholte</v>
      </c>
      <c r="N18" s="210" t="str">
        <f t="array" ref="N18">IFERROR(
 INDEX(
  SCHEDULE!$A$1:$A$76,
   SMALL(
   IF(
    (ISNUMBER(SEARCH("A",SCHEDULE!K$1:K$76)))*
   ( (SCHEDULE!J$1:J$76=$B18)+(SCHEDULE!J$1:J$76=$C18)+(SCHEDULE!J$1:J$76=$D18)+(SCHEDULE!J$1:J$76=$E18)+(SCHEDULE!J$1:J$76=$F18)+ (SCHEDULE!L$1:L$76=$G18) ),
     ROW(SCHEDULE!AS$1:AS$76),
     ""
    ),COUNTIF($H$18:$H18,$H18)
  )
 ),"
Missing")</f>
        <v xml:space="preserve">
Missing</v>
      </c>
      <c r="O18" s="210" t="str">
        <f t="array" ref="O18">IFERROR(
 INDEX(
  SCHEDULE!$A$1:$A$76,
   SMALL(
   IF(
    (ISNUMBER(SEARCH("A",SCHEDULE!L$1:L$76)))*
   ( (SCHEDULE!K$1:K$76=$B18)+(SCHEDULE!K$1:K$76=$C18)+(SCHEDULE!K$1:K$76=$D18)+(SCHEDULE!K$1:K$76=$E18)+(SCHEDULE!K$1:K$76=$F18)+ (SCHEDULE!M$1:M$76=$G18) ),
     ROW(SCHEDULE!AT$1:AT$76),
     ""
    ),COUNTIF($H$18:$H18,$H18)
  )
 ),"
Missing")</f>
        <v>Date Range</v>
      </c>
      <c r="P18" s="210" t="str">
        <f t="array" ref="P18">IFERROR(
 INDEX(
  SCHEDULE!$A$1:$A$76,
   SMALL(
   IF(
    (ISNUMBER(SEARCH("A",SCHEDULE!M$1:M$76)))*
   ( (SCHEDULE!L$1:L$76=$B18)+(SCHEDULE!L$1:L$76=$C18)+(SCHEDULE!L$1:L$76=$D18)+(SCHEDULE!L$1:L$76=$E18)+(SCHEDULE!L$1:L$76=$F18)+ (SCHEDULE!N$1:N$76=$G18) ),
     ROW(SCHEDULE!AU$1:AU$76),
     ""
    ),COUNTIF($H$18:$H18,$H18)
  )
 ),"
Missing")</f>
        <v>Micah Heaton</v>
      </c>
      <c r="Q18" s="210" t="str">
        <f t="array" ref="Q18">IFERROR(
 INDEX(
  SCHEDULE!$A$1:$A$76,
   SMALL(
   IF(
    (ISNUMBER(SEARCH("A",SCHEDULE!N$1:N$76)))*
   ( (SCHEDULE!M$1:M$76=$B18)+(SCHEDULE!M$1:M$76=$C18)+(SCHEDULE!M$1:M$76=$D18)+(SCHEDULE!M$1:M$76=$E18)+(SCHEDULE!M$1:M$76=$F18)+ (SCHEDULE!O$1:O$76=$G18) ),
     ROW(SCHEDULE!AV$1:AV$76),
     ""
    ),COUNTIF($H$18:$H18,$H18)
  )
 ),"
Missing")</f>
        <v>Blaze Chabot</v>
      </c>
      <c r="R18" s="210" t="str">
        <f t="array" ref="R18">IFERROR(
 INDEX(
  SCHEDULE!$A$1:$A$76,
   SMALL(
   IF(
    (ISNUMBER(SEARCH("A",SCHEDULE!O$1:O$76)))*
   ( (SCHEDULE!N$1:N$76=$B18)+(SCHEDULE!N$1:N$76=$C18)+(SCHEDULE!N$1:N$76=$D18)+(SCHEDULE!N$1:N$76=$E18)+(SCHEDULE!N$1:N$76=$F18)+ (SCHEDULE!P$1:P$76=$G18) ),
     ROW(SCHEDULE!AW$1:AW$76),
     ""
    ),COUNTIF($H$18:$H18,$H18)
  )
 ),"
Missing")</f>
        <v>Date Range</v>
      </c>
      <c r="S18" s="210" t="str">
        <f t="array" ref="S18">IFERROR(
 INDEX(
  SCHEDULE!$A$1:$A$76,
   SMALL(
   IF(
    (ISNUMBER(SEARCH("A",SCHEDULE!P$1:P$76)))*
   ( (SCHEDULE!O$1:O$76=$B18)+(SCHEDULE!O$1:O$76=$C18)+(SCHEDULE!O$1:O$76=$D18)+(SCHEDULE!O$1:O$76=$E18)+(SCHEDULE!O$1:O$76=$F18)+ (SCHEDULE!Q$1:Q$76=$G18) ),
     ROW(SCHEDULE!AX$1:AX$76),
     ""
    ),COUNTIF($H$18:$H18,$H18)
  )
 ),"
Missing")</f>
        <v>Johan Scholte</v>
      </c>
      <c r="T18" s="210" t="str">
        <f t="array" ref="T18">IFERROR(
 INDEX(
  SCHEDULE!$A$1:$A$76,
   SMALL(
   IF(
    (ISNUMBER(SEARCH("A",SCHEDULE!Q$1:Q$76)))*
   ( (SCHEDULE!P$1:P$76=$B18)+(SCHEDULE!P$1:P$76=$C18)+(SCHEDULE!P$1:P$76=$D18)+(SCHEDULE!P$1:P$76=$E18)+(SCHEDULE!P$1:P$76=$F18)+ (SCHEDULE!R$1:R$76=$G18) ),
     ROW(SCHEDULE!AY$1:AY$76),
     ""
    ),COUNTIF($H$18:$H18,$H18)
  )
 ),"
Missing")</f>
        <v>Blaze Chabot</v>
      </c>
      <c r="U18" s="210" t="str">
        <f t="array" ref="U18">IFERROR(
 INDEX(
  SCHEDULE!$A$1:$A$76,
   SMALL(
   IF(
    (ISNUMBER(SEARCH("A",SCHEDULE!R$1:R$76)))*
   ( (SCHEDULE!Q$1:Q$76=$B18)+(SCHEDULE!Q$1:Q$76=$C18)+(SCHEDULE!Q$1:Q$76=$D18)+(SCHEDULE!Q$1:Q$76=$E18)+(SCHEDULE!Q$1:Q$76=$F18)+ (SCHEDULE!S$1:S$76=$G18) ),
     ROW(SCHEDULE!AZ$1:AZ$76),
     ""
    ),COUNTIF($H$18:$H18,$H18)
  )
 ),"
Missing")</f>
        <v>Date Range</v>
      </c>
      <c r="V18" s="210" t="str">
        <f t="array" ref="V18">IFERROR(
 INDEX(
  SCHEDULE!$A$1:$A$76,
   SMALL(
   IF(
    (ISNUMBER(SEARCH("A",SCHEDULE!S$1:S$76)))*
   ( (SCHEDULE!R$1:R$76=$B18)+(SCHEDULE!R$1:R$76=$C18)+(SCHEDULE!R$1:R$76=$D18)+(SCHEDULE!R$1:R$76=$E18)+(SCHEDULE!R$1:R$76=$F18)+ (SCHEDULE!T$1:T$76=$G18) ),
     ROW(SCHEDULE!BA$1:BA$76),
     ""
    ),COUNTIF($H$18:$H18,$H18)
  )
 ),"
Missing")</f>
        <v>Micah Heaton</v>
      </c>
      <c r="W18" s="210" t="str">
        <f t="array" ref="W18">IFERROR(
 INDEX(
  SCHEDULE!$A$1:$A$76,
   SMALL(
   IF(
    (ISNUMBER(SEARCH("A",SCHEDULE!T$1:T$76)))*
   ( (SCHEDULE!S$1:S$76=$B18)+(SCHEDULE!S$1:S$76=$C18)+(SCHEDULE!S$1:S$76=$D18)+(SCHEDULE!S$1:S$76=$E18)+(SCHEDULE!S$1:S$76=$F18)+ (SCHEDULE!U$1:U$76=$G18) ),
     ROW(SCHEDULE!BB$1:BB$76),
     ""
    ),COUNTIF($H$18:$H18,$H18)
  )
 ),"
Missing")</f>
        <v>Blaze Chabot</v>
      </c>
      <c r="X18" s="210" t="str">
        <f t="array" ref="X18">IFERROR(
 INDEX(
  SCHEDULE!$A$1:$A$76,
   SMALL(
   IF(
    (ISNUMBER(SEARCH("A",SCHEDULE!U$1:U$76)))*
   ( (SCHEDULE!T$1:T$76=$B18)+(SCHEDULE!T$1:T$76=$C18)+(SCHEDULE!T$1:T$76=$D18)+(SCHEDULE!T$1:T$76=$E18)+(SCHEDULE!T$1:T$76=$F18)+ (SCHEDULE!V$1:V$76=$G18) ),
     ROW(SCHEDULE!BC$1:BC$76),
     ""
    ),COUNTIF($H$18:$H18,$H18)
  )
 ),"
Missing")</f>
        <v>Date Range</v>
      </c>
      <c r="Y18" s="210" t="str">
        <f t="array" ref="Y18">IFERROR(
 INDEX(
  SCHEDULE!$A$1:$A$76,
   SMALL(
   IF(
    (ISNUMBER(SEARCH("A",SCHEDULE!V$1:V$76)))*
   ( (SCHEDULE!U$1:U$76=$B18)+(SCHEDULE!U$1:U$76=$C18)+(SCHEDULE!U$1:U$76=$D18)+(SCHEDULE!U$1:U$76=$E18)+(SCHEDULE!U$1:U$76=$F18)+ (SCHEDULE!W$1:W$76=$G18) ),
     ROW(SCHEDULE!BD$1:BD$76),
     ""
    ),COUNTIF($H$18:$H18,$H18)
  )
 ),"
Missing")</f>
        <v>Johan Scholte</v>
      </c>
      <c r="Z18" s="210" t="str">
        <f t="array" ref="Z18">IFERROR(
 INDEX(
  SCHEDULE!$A$1:$A$76,
   SMALL(
   IF(
    (ISNUMBER(SEARCH("A",SCHEDULE!W$1:W$76)))*
   ( (SCHEDULE!V$1:V$76=$B18)+(SCHEDULE!V$1:V$76=$C18)+(SCHEDULE!V$1:V$76=$D18)+(SCHEDULE!V$1:V$76=$E18)+(SCHEDULE!V$1:V$76=$F18)+ (SCHEDULE!X$1:X$76=$G18) ),
     ROW(SCHEDULE!BE$1:BE$76),
     ""
    ),COUNTIF($H$18:$H18,$H18)
  )
 ),"
Missing")</f>
        <v>Blaze Chabot</v>
      </c>
      <c r="AA18" s="210" t="str">
        <f t="array" ref="AA18">IFERROR(
 INDEX(
  SCHEDULE!$A$1:$A$76,
   SMALL(
   IF(
    (ISNUMBER(SEARCH("A",SCHEDULE!X$1:X$76)))*
   ( (SCHEDULE!W$1:W$76=$B18)+(SCHEDULE!W$1:W$76=$C18)+(SCHEDULE!W$1:W$76=$D18)+(SCHEDULE!W$1:W$76=$E18)+(SCHEDULE!W$1:W$76=$F18)+ (SCHEDULE!Y$1:Y$76=$G18) ),
     ROW(SCHEDULE!BF$1:BF$76),
     ""
    ),COUNTIF($H$18:$H18,$H18)
  )
 ),"
Missing")</f>
        <v>Date Range</v>
      </c>
      <c r="AB18" s="210" t="str">
        <f t="array" ref="AB18">IFERROR(
 INDEX(
  SCHEDULE!$A$1:$A$76,
   SMALL(
   IF(
    (ISNUMBER(SEARCH("A",SCHEDULE!Y$1:Y$76)))*
   ( (SCHEDULE!X$1:X$76=$B18)+(SCHEDULE!X$1:X$76=$C18)+(SCHEDULE!X$1:X$76=$D18)+(SCHEDULE!X$1:X$76=$E18)+(SCHEDULE!X$1:X$76=$F18)+ (SCHEDULE!Z$1:Z$76=$G18) ),
     ROW(SCHEDULE!BG$1:BG$76),
     ""
    ),COUNTIF($H$18:$H18,$H18)
  )
 ),"
Missing")</f>
        <v>Micah Heaton</v>
      </c>
      <c r="AC18" s="210" t="str">
        <f t="array" ref="AC18">IFERROR(
 INDEX(
  SCHEDULE!$A$1:$A$76,
   SMALL(
   IF(
    (ISNUMBER(SEARCH("A",SCHEDULE!Z$1:Z$76)))*
   ( (SCHEDULE!Y$1:Y$76=$B18)+(SCHEDULE!Y$1:Y$76=$C18)+(SCHEDULE!Y$1:Y$76=$D18)+(SCHEDULE!Y$1:Y$76=$E18)+(SCHEDULE!Y$1:Y$76=$F18)+ (SCHEDULE!AA$1:AA$76=$G18) ),
     ROW(SCHEDULE!BH$1:BH$76),
     ""
    ),COUNTIF($H$18:$H18,$H18)
  )
 ),"
Missing")</f>
        <v>Blaze Chabot</v>
      </c>
      <c r="AD18" s="210" t="str">
        <f t="array" ref="AD18">IFERROR(
 INDEX(
  SCHEDULE!$A$1:$A$76,
   SMALL(
   IF(
    (ISNUMBER(SEARCH("A",SCHEDULE!AA$1:AA$76)))*
   ( (SCHEDULE!Z$1:Z$76=$B18)+(SCHEDULE!Z$1:Z$76=$C18)+(SCHEDULE!Z$1:Z$76=$D18)+(SCHEDULE!Z$1:Z$76=$E18)+(SCHEDULE!Z$1:Z$76=$F18)+ (SCHEDULE!AB$1:AB$76=$G18) ),
     ROW(SCHEDULE!BI$1:BI$76),
     ""
    ),COUNTIF($H$18:$H18,$H18)
  )
 ),"
Missing")</f>
        <v>Date Range</v>
      </c>
      <c r="AE18" s="210" t="str">
        <f t="array" ref="AE18">IFERROR(
 INDEX(
  SCHEDULE!$A$1:$A$76,
   SMALL(
   IF(
    (ISNUMBER(SEARCH("A",SCHEDULE!AB$1:AB$76)))*
   ( (SCHEDULE!AA$1:AA$76=$B18)+(SCHEDULE!AA$1:AA$76=$C18)+(SCHEDULE!AA$1:AA$76=$D18)+(SCHEDULE!AA$1:AA$76=$E18)+(SCHEDULE!AA$1:AA$76=$F18)+ (SCHEDULE!AC$1:AC$76=$G18) ),
     ROW(SCHEDULE!BJ$1:BJ$76),
     ""
    ),COUNTIF($H$18:$H18,$H18)
  )
 ),"
Missing")</f>
        <v>Brendan Stevens</v>
      </c>
      <c r="AF18" s="210" t="str">
        <f t="array" ref="AF18">IFERROR(
 INDEX(
  SCHEDULE!$A$1:$A$76,
   SMALL(
   IF(
    (ISNUMBER(SEARCH("A",SCHEDULE!AC$1:AC$76)))*
   ( (SCHEDULE!AB$1:AB$76=$B18)+(SCHEDULE!AB$1:AB$76=$C18)+(SCHEDULE!AB$1:AB$76=$D18)+(SCHEDULE!AB$1:AB$76=$E18)+(SCHEDULE!AB$1:AB$76=$F18)+ (SCHEDULE!AD$1:AD$76=$G18) ),
     ROW(SCHEDULE!BK$1:BK$76),
     ""
    ),COUNTIF($H$18:$H18,$H18)
  )
 ),"
Missing")</f>
        <v xml:space="preserve">
Missing</v>
      </c>
      <c r="AG18" s="210" t="str">
        <f t="array" ref="AG18">IFERROR(
 INDEX(
  SCHEDULE!$A$1:$A$76,
   SMALL(
   IF(
    (ISNUMBER(SEARCH("A",SCHEDULE!AD$1:AD$76)))*
   ( (SCHEDULE!AC$1:AC$76=$B18)+(SCHEDULE!AC$1:AC$76=$C18)+(SCHEDULE!AC$1:AC$76=$D18)+(SCHEDULE!AC$1:AC$76=$E18)+(SCHEDULE!AC$1:AC$76=$F18)+ (SCHEDULE!AE$1:AE$76=$G18) ),
     ROW(SCHEDULE!BL$1:BL$76),
     ""
    ),COUNTIF($H$18:$H18,$H18)
  )
 ),"
Missing")</f>
        <v xml:space="preserve">
Missing</v>
      </c>
      <c r="AH18" s="210" t="str">
        <f t="array" ref="AH18">IFERROR(
 INDEX(
  SCHEDULE!$A$1:$A$76,
   SMALL(
   IF(
    (ISNUMBER(SEARCH("A",SCHEDULE!AE$1:AE$76)))*
   ( (SCHEDULE!AD$1:AD$76=$B18)+(SCHEDULE!AD$1:AD$76=$C18)+(SCHEDULE!AD$1:AD$76=$D18)+(SCHEDULE!AD$1:AD$76=$E18)+(SCHEDULE!AD$1:AD$76=$F18)+ (SCHEDULE!AF$1:AF$76=$G18) ),
     ROW(SCHEDULE!BM$1:BM$76),
     ""
    ),COUNTIF($H$18:$H18,$H18)
  )
 ),"
Missing")</f>
        <v>Date Range</v>
      </c>
      <c r="AI18" s="210" t="str">
        <f t="array" ref="AI18">IFERROR(
 INDEX(
  SCHEDULE!$A$1:$A$76,
   SMALL(
   IF(
    (ISNUMBER(SEARCH("A",SCHEDULE!AF$1:AF$76)))*
   ( (SCHEDULE!AE$1:AE$76=$B18)+(SCHEDULE!AE$1:AE$76=$C18)+(SCHEDULE!AE$1:AE$76=$D18)+(SCHEDULE!AE$1:AE$76=$E18)+(SCHEDULE!AE$1:AE$76=$F18)+ (SCHEDULE!AG$1:AG$76=$G18) ),
     ROW(SCHEDULE!BN$1:BN$76),
     ""
    ),COUNTIF($H$18:$H18,$H18)
  )
 ),"
Missing")</f>
        <v>Abraham Hurtado</v>
      </c>
      <c r="AJ18" s="210" t="str">
        <f t="array" ref="AJ18">IFERROR(
 INDEX(
  SCHEDULE!$A$1:$A$76,
   SMALL(
   IF(
    (ISNUMBER(SEARCH("A",SCHEDULE!AG$1:AG$76)))*
   ( (SCHEDULE!AF$1:AF$76=$B18)+(SCHEDULE!AF$1:AF$76=$C18)+(SCHEDULE!AF$1:AF$76=$D18)+(SCHEDULE!AF$1:AF$76=$E18)+(SCHEDULE!AF$1:AF$76=$F18)+ (SCHEDULE!AH$1:AH$76=$G18) ),
     ROW(SCHEDULE!BO$1:BO$76),
     ""
    ),COUNTIF($H$18:$H18,$H18)
  )
 ),"
Missing")</f>
        <v xml:space="preserve">
Missing</v>
      </c>
      <c r="AK18" s="210" t="str">
        <f t="array" ref="AK18">IFERROR(
 INDEX(
  SCHEDULE!$A$1:$A$76,
   SMALL(
   IF(
    (ISNUMBER(SEARCH("A",SCHEDULE!AH$1:AH$76)))*
   ( (SCHEDULE!AG$1:AG$76=$B18)+(SCHEDULE!AG$1:AG$76=$C18)+(SCHEDULE!AG$1:AG$76=$D18)+(SCHEDULE!AG$1:AG$76=$E18)+(SCHEDULE!AG$1:AG$76=$F18)+ (SCHEDULE!AI$1:AI$76=$G18) ),
     ROW(SCHEDULE!BP$1:BP$76),
     ""
    ),COUNTIF($H$18:$H18,$H18)
  )
 ),"
Missing")</f>
        <v>Date Range</v>
      </c>
      <c r="AL18" s="210" t="str">
        <f t="array" ref="AL18">IFERROR(
 INDEX(
  SCHEDULE!$A$1:$A$76,
   SMALL(
   IF(
    (ISNUMBER(SEARCH("A",SCHEDULE!AI$1:AI$76)))*
   ( (SCHEDULE!AH$1:AH$76=$B18)+(SCHEDULE!AH$1:AH$76=$C18)+(SCHEDULE!AH$1:AH$76=$D18)+(SCHEDULE!AH$1:AH$76=$E18)+(SCHEDULE!AH$1:AH$76=$F18)+ (SCHEDULE!AJ$1:AJ$76=$G18) ),
     ROW(SCHEDULE!BQ$1:BQ$76),
     ""
    ),COUNTIF($H$18:$H18,$H18)
  )
 ),"
Missing")</f>
        <v>Micah Heaton</v>
      </c>
      <c r="AM18" s="210" t="str">
        <f t="array" ref="AM18">IFERROR(
 INDEX(
  SCHEDULE!$A$1:$A$76,
   SMALL(
   IF(
    (ISNUMBER(SEARCH("A",SCHEDULE!AJ$1:AJ$76)))*
   ( (SCHEDULE!AI$1:AI$76=$B18)+(SCHEDULE!AI$1:AI$76=$C18)+(SCHEDULE!AI$1:AI$76=$D18)+(SCHEDULE!AI$1:AI$76=$E18)+(SCHEDULE!AI$1:AI$76=$F18)+ (SCHEDULE!AK$1:AK$76=$G18) ),
     ROW(SCHEDULE!BR$1:BR$76),
     ""
    ),COUNTIF($H$18:$H18,$H18)
  )
 ),"
Missing")</f>
        <v>Blaze Chabot</v>
      </c>
      <c r="AN18" s="210" t="str">
        <f t="array" ref="AN18">IFERROR(
 INDEX(
  SCHEDULE!$A$1:$A$76,
   SMALL(
   IF(
    (ISNUMBER(SEARCH("A",SCHEDULE!AK$1:AK$76)))*
   ( (SCHEDULE!AJ$1:AJ$76=$B18)+(SCHEDULE!AJ$1:AJ$76=$C18)+(SCHEDULE!AJ$1:AJ$76=$D18)+(SCHEDULE!AJ$1:AJ$76=$E18)+(SCHEDULE!AJ$1:AJ$76=$F18)+ (SCHEDULE!AL$1:AL$76=$G18) ),
     ROW(SCHEDULE!BS$1:BS$76),
     ""
    ),COUNTIF($H$18:$H18,$H18)
  )
 ),"
Missing")</f>
        <v>Date Range</v>
      </c>
      <c r="AO18" s="210" t="str">
        <f t="array" ref="AO18">IFERROR(
 INDEX(
  SCHEDULE!$A$1:$A$76,
   SMALL(
   IF(
    (ISNUMBER(SEARCH("A",SCHEDULE!AL$1:AL$76)))*
   ( (SCHEDULE!AK$1:AK$76=$B18)+(SCHEDULE!AK$1:AK$76=$C18)+(SCHEDULE!AK$1:AK$76=$D18)+(SCHEDULE!AK$1:AK$76=$E18)+(SCHEDULE!AK$1:AK$76=$F18)+ (SCHEDULE!AM$1:AM$76=$G18) ),
     ROW(SCHEDULE!BT$1:BT$76),
     ""
    ),COUNTIF($H$18:$H18,$H18)
  )
 ),"
Missing")</f>
        <v>Micah Heaton</v>
      </c>
      <c r="AP18" s="210" t="str">
        <f t="array" ref="AP18">IFERROR(
 INDEX(
  SCHEDULE!$A$1:$A$76,
   SMALL(
   IF(
    (ISNUMBER(SEARCH("A",SCHEDULE!AM$1:AM$76)))*
   ( (SCHEDULE!AL$1:AL$76=$B18)+(SCHEDULE!AL$1:AL$76=$C18)+(SCHEDULE!AL$1:AL$76=$D18)+(SCHEDULE!AL$1:AL$76=$E18)+(SCHEDULE!AL$1:AL$76=$F18)+ (SCHEDULE!AN$1:AN$76=$G18) ),
     ROW(SCHEDULE!BU$1:BU$76),
     ""
    ),COUNTIF($H$18:$H18,$H18)
  )
 ),"
Missing")</f>
        <v>Blaze Chabot</v>
      </c>
      <c r="AQ18" s="210" t="str">
        <f t="array" ref="AQ18">IFERROR(
 INDEX(
  SCHEDULE!$A$1:$A$76,
   SMALL(
   IF(
    (ISNUMBER(SEARCH("A",SCHEDULE!AN$1:AN$76)))*
   ( (SCHEDULE!AM$1:AM$76=$B18)+(SCHEDULE!AM$1:AM$76=$C18)+(SCHEDULE!AM$1:AM$76=$D18)+(SCHEDULE!AM$1:AM$76=$E18)+(SCHEDULE!AM$1:AM$76=$F18)+ (SCHEDULE!AO$1:AO$76=$G18) ),
     ROW(SCHEDULE!BV$1:BV$76),
     ""
    ),COUNTIF($H$18:$H18,$H18)
  )
 ),"
Missing")</f>
        <v>Date Range</v>
      </c>
      <c r="AR18" s="210" t="str">
        <f t="array" ref="AR18">IFERROR(
 INDEX(
  SCHEDULE!$A$1:$A$76,
   SMALL(
   IF(
    (ISNUMBER(SEARCH("A",SCHEDULE!AO$1:AO$76)))*
   ( (SCHEDULE!AN$1:AN$76=$B18)+(SCHEDULE!AN$1:AN$76=$C18)+(SCHEDULE!AN$1:AN$76=$D18)+(SCHEDULE!AN$1:AN$76=$E18)+(SCHEDULE!AN$1:AN$76=$F18)+ (SCHEDULE!AP$1:AP$76=$G18) ),
     ROW(SCHEDULE!BW$1:BW$76),
     ""
    ),COUNTIF($H$18:$H18,$H18)
  )
 ),"
Missing")</f>
        <v>Micah Heaton</v>
      </c>
      <c r="AS18" s="210" t="str">
        <f t="array" ref="AS18">IFERROR(
 INDEX(
  SCHEDULE!$A$1:$A$76,
   SMALL(
   IF(
    (ISNUMBER(SEARCH("A",SCHEDULE!AP$1:AP$76)))*
   ( (SCHEDULE!AO$1:AO$76=$B18)+(SCHEDULE!AO$1:AO$76=$C18)+(SCHEDULE!AO$1:AO$76=$D18)+(SCHEDULE!AO$1:AO$76=$E18)+(SCHEDULE!AO$1:AO$76=$F18)+ (SCHEDULE!AQ$1:AQ$76=$G18) ),
     ROW(SCHEDULE!BX$1:BX$76),
     ""
    ),COUNTIF($H$18:$H18,$H18)
  )
 ),"
Missing")</f>
        <v>Blaze Chabot</v>
      </c>
      <c r="AT18" s="210" t="str">
        <f t="array" ref="AT18">IFERROR(
 INDEX(
  SCHEDULE!$A$1:$A$76,
   SMALL(
   IF(
    (ISNUMBER(SEARCH("A",SCHEDULE!AQ$1:AQ$76)))*
   ( (SCHEDULE!AP$1:AP$76=$B18)+(SCHEDULE!AP$1:AP$76=$C18)+(SCHEDULE!AP$1:AP$76=$D18)+(SCHEDULE!AP$1:AP$76=$E18)+(SCHEDULE!AP$1:AP$76=$F18)+ (SCHEDULE!AR$1:AR$76=$G18) ),
     ROW(SCHEDULE!BY$1:BY$76),
     ""
    ),COUNTIF($H$18:$H18,$H18)
  )
 ),"
Missing")</f>
        <v>Date Range</v>
      </c>
      <c r="AU18" s="210" t="str">
        <f t="array" ref="AU18">IFERROR(
 INDEX(
  SCHEDULE!$A$1:$A$76,
   SMALL(
   IF(
    (ISNUMBER(SEARCH("A",SCHEDULE!AR$1:AR$76)))*
   ( (SCHEDULE!AQ$1:AQ$76=$B18)+(SCHEDULE!AQ$1:AQ$76=$C18)+(SCHEDULE!AQ$1:AQ$76=$D18)+(SCHEDULE!AQ$1:AQ$76=$E18)+(SCHEDULE!AQ$1:AQ$76=$F18)+ (SCHEDULE!AS$1:AS$76=$G18) ),
     ROW(SCHEDULE!BZ$1:BZ$76),
     ""
    ),COUNTIF($H$18:$H18,$H18)
  )
 ),"
Missing")</f>
        <v>Micah Heaton</v>
      </c>
      <c r="AV18" s="210" t="str">
        <f t="array" ref="AV18">IFERROR(
 INDEX(
  SCHEDULE!$A$1:$A$76,
   SMALL(
   IF(
    (ISNUMBER(SEARCH("A",SCHEDULE!AS$1:AS$76)))*
   ( (SCHEDULE!AR$1:AR$76=$B18)+(SCHEDULE!AR$1:AR$76=$C18)+(SCHEDULE!AR$1:AR$76=$D18)+(SCHEDULE!AR$1:AR$76=$E18)+(SCHEDULE!AR$1:AR$76=$F18)+ (SCHEDULE!AT$1:AT$76=$G18) ),
     ROW(SCHEDULE!CA$1:CA$76),
     ""
    ),COUNTIF($H$18:$H18,$H18)
  )
 ),"
Missing")</f>
        <v xml:space="preserve">
Missing</v>
      </c>
      <c r="AW18" s="210" t="str">
        <f t="array" ref="AW18">IFERROR(
 INDEX(
  SCHEDULE!$A$1:$A$76,
   SMALL(
   IF(
    (ISNUMBER(SEARCH("A",SCHEDULE!AT$1:AT$76)))*
   ( (SCHEDULE!AS$1:AS$76=$B18)+(SCHEDULE!AS$1:AS$76=$C18)+(SCHEDULE!AS$1:AS$76=$D18)+(SCHEDULE!AS$1:AS$76=$E18)+(SCHEDULE!AS$1:AS$76=$F18)+ (SCHEDULE!AU$1:AU$76=$G18) ),
     ROW(SCHEDULE!CB$1:CB$76),
     ""
    ),COUNTIF($H$18:$H18,$H18)
  )
 ),"
Missing")</f>
        <v>Date Range</v>
      </c>
      <c r="AX18" s="210" t="str">
        <f t="array" ref="AX18">IFERROR(
 INDEX(
  SCHEDULE!$A$1:$A$76,
   SMALL(
   IF(
    (ISNUMBER(SEARCH("A",SCHEDULE!AU$1:AU$76)))*
   ( (SCHEDULE!AT$1:AT$76=$B18)+(SCHEDULE!AT$1:AT$76=$C18)+(SCHEDULE!AT$1:AT$76=$D18)+(SCHEDULE!AT$1:AT$76=$E18)+(SCHEDULE!AT$1:AT$76=$F18)+ (SCHEDULE!AV$1:AV$76=$G18) ),
     ROW(SCHEDULE!CC$1:CC$76),
     ""
    ),COUNTIF($H$18:$H18,$H18)
  )
 ),"
Missing")</f>
        <v>Micah Heaton</v>
      </c>
      <c r="AY18" s="210" t="str">
        <f t="array" ref="AY18">IFERROR(
 INDEX(
  SCHEDULE!$A$1:$A$76,
   SMALL(
   IF(
    (ISNUMBER(SEARCH("A",SCHEDULE!AV$1:AV$76)))*
   ( (SCHEDULE!AU$1:AU$76=$B18)+(SCHEDULE!AU$1:AU$76=$C18)+(SCHEDULE!AU$1:AU$76=$D18)+(SCHEDULE!AU$1:AU$76=$E18)+(SCHEDULE!AU$1:AU$76=$F18)+ (SCHEDULE!AW$1:AW$76=$G18) ),
     ROW(SCHEDULE!CD$1:CD$76),
     ""
    ),COUNTIF($H$18:$H18,$H18)
  )
 ),"
Missing")</f>
        <v>Paul Soares</v>
      </c>
      <c r="AZ18" s="210" t="str">
        <f t="array" ref="AZ18">IFERROR(
 INDEX(
  SCHEDULE!$A$1:$A$76,
   SMALL(
   IF(
    (ISNUMBER(SEARCH("A",SCHEDULE!AW$1:AW$76)))*
   ( (SCHEDULE!AV$1:AV$76=$B18)+(SCHEDULE!AV$1:AV$76=$C18)+(SCHEDULE!AV$1:AV$76=$D18)+(SCHEDULE!AV$1:AV$76=$E18)+(SCHEDULE!AV$1:AV$76=$F18)+ (SCHEDULE!AX$1:AX$76=$G18) ),
     ROW(SCHEDULE!CE$1:CE$76),
     ""
    ),COUNTIF($H$18:$H18,$H18)
  )
 ),"
Missing")</f>
        <v>Date Range</v>
      </c>
      <c r="BA18" s="210" t="str">
        <f t="array" ref="BA18">IFERROR(
 INDEX(
  SCHEDULE!$A$1:$A$76,
   SMALL(
   IF(
    (ISNUMBER(SEARCH("A",SCHEDULE!AX$1:AX$76)))*
   ( (SCHEDULE!AW$1:AW$76=$B18)+(SCHEDULE!AW$1:AW$76=$C18)+(SCHEDULE!AW$1:AW$76=$D18)+(SCHEDULE!AW$1:AW$76=$E18)+(SCHEDULE!AW$1:AW$76=$F18)+ (SCHEDULE!AY$1:AY$76=$G18) ),
     ROW(SCHEDULE!CF$1:CF$76),
     ""
    ),COUNTIF($H$18:$H18,$H18)
  )
 ),"
Missing")</f>
        <v>Drew Merrill</v>
      </c>
      <c r="BB18" s="210" t="str">
        <f t="array" ref="BB18">IFERROR(
 INDEX(
  SCHEDULE!$A$1:$A$76,
   SMALL(
   IF(
    (ISNUMBER(SEARCH("A",SCHEDULE!AY$1:AY$76)))*
   ( (SCHEDULE!AX$1:AX$76=$B18)+(SCHEDULE!AX$1:AX$76=$C18)+(SCHEDULE!AX$1:AX$76=$D18)+(SCHEDULE!AX$1:AX$76=$E18)+(SCHEDULE!AX$1:AX$76=$F18)+ (SCHEDULE!AZ$1:AZ$76=$G18) ),
     ROW(SCHEDULE!CG$1:CG$76),
     ""
    ),COUNTIF($H$18:$H18,$H18)
  )
 ),"
Missing")</f>
        <v xml:space="preserve">
Missing</v>
      </c>
      <c r="BC18" s="210" t="str">
        <f t="array" ref="BC18">IFERROR(
 INDEX(
  SCHEDULE!$A$1:$A$76,
   SMALL(
   IF(
    (ISNUMBER(SEARCH("A",SCHEDULE!AZ$1:AZ$76)))*
   ( (SCHEDULE!AY$1:AY$76=$B18)+(SCHEDULE!AY$1:AY$76=$C18)+(SCHEDULE!AY$1:AY$76=$D18)+(SCHEDULE!AY$1:AY$76=$E18)+(SCHEDULE!AY$1:AY$76=$F18)+ (SCHEDULE!BA$1:BA$76=$G18) ),
     ROW(SCHEDULE!CH$1:CH$76),
     ""
    ),COUNTIF($H$18:$H18,$H18)
  )
 ),"
Missing")</f>
        <v xml:space="preserve">
Missing</v>
      </c>
      <c r="BD18" s="210" t="str">
        <f t="array" ref="BD18">IFERROR(
 INDEX(
  SCHEDULE!$A$1:$A$76,
   SMALL(
   IF(
    (ISNUMBER(SEARCH("A",SCHEDULE!BA$1:BA$76)))*
   ( (SCHEDULE!AZ$1:AZ$76=$B18)+(SCHEDULE!AZ$1:AZ$76=$C18)+(SCHEDULE!AZ$1:AZ$76=$D18)+(SCHEDULE!AZ$1:AZ$76=$E18)+(SCHEDULE!AZ$1:AZ$76=$F18)+ (SCHEDULE!BB$1:BB$76=$G18) ),
     ROW(SCHEDULE!CI$1:CI$76),
     ""
    ),COUNTIF($H$18:$H18,$H18)
  )
 ),"
Missing")</f>
        <v>Date Range</v>
      </c>
      <c r="BE18" s="210" t="str">
        <f t="array" ref="BE18">IFERROR(
 INDEX(
  SCHEDULE!$A$1:$A$76,
   SMALL(
   IF(
    (ISNUMBER(SEARCH("A",SCHEDULE!BB$1:BB$76)))*
   ( (SCHEDULE!BA$1:BA$76=$B18)+(SCHEDULE!BA$1:BA$76=$C18)+(SCHEDULE!BA$1:BA$76=$D18)+(SCHEDULE!BA$1:BA$76=$E18)+(SCHEDULE!BA$1:BA$76=$F18)+ (SCHEDULE!BC$1:BC$76=$G18) ),
     ROW(SCHEDULE!CJ$1:CJ$76),
     ""
    ),COUNTIF($H$18:$H18,$H18)
  )
 ),"
Missing")</f>
        <v>Brendan Stevens</v>
      </c>
    </row>
    <row r="19" spans="2:57" x14ac:dyDescent="0.2">
      <c r="B19" s="203">
        <v>0.25</v>
      </c>
      <c r="C19" s="203" t="s">
        <v>105</v>
      </c>
      <c r="D19" s="203"/>
      <c r="E19" s="203"/>
      <c r="F19" s="203"/>
      <c r="G19" s="203" t="s">
        <v>89</v>
      </c>
      <c r="H19" s="205" t="s">
        <v>102</v>
      </c>
      <c r="I19" s="210" t="str">
        <f t="array" ref="I19">IFERROR(
 INDEX(
  SCHEDULE!$A$1:$A$76,
   SMALL(
   IF(
    (ISNUMBER(SEARCH("A",SCHEDULE!F$1:F$76)))*
   ( (SCHEDULE!E$1:E$76=$B19)+(SCHEDULE!E$1:E$76=$C19)+(SCHEDULE!E$1:E$76=$D19)+(SCHEDULE!E$1:E$76=$E19)+(SCHEDULE!E$1:E$76=$F19)+ (SCHEDULE!G$1:G$76=$G19) ),
     ROW(SCHEDULE!AN$1:AN$76),
     ""
    ),COUNTIF($H$18:$H19,$H19)
  )
 ),"
Missing")</f>
        <v>Milena Norton</v>
      </c>
      <c r="J19" s="210" t="str">
        <f t="array" ref="J19">IFERROR(
 INDEX(
  SCHEDULE!$A$1:$A$76,
   SMALL(
   IF(
    (ISNUMBER(SEARCH("A",SCHEDULE!G$1:G$76)))*
   ( (SCHEDULE!F$1:F$76=$B19)+(SCHEDULE!F$1:F$76=$C19)+(SCHEDULE!F$1:F$76=$D19)+(SCHEDULE!F$1:F$76=$E19)+(SCHEDULE!F$1:F$76=$F19)+ (SCHEDULE!H$1:H$76=$G19) ),
     ROW(SCHEDULE!AO$1:AO$76),
     ""
    ),COUNTIF($H$18:$H19,$H19)
  )
 ),"
Missing")</f>
        <v xml:space="preserve">
Missing</v>
      </c>
      <c r="K19" s="210" t="str">
        <f t="array" ref="K19">IFERROR(
 INDEX(
  SCHEDULE!$A$1:$A$76,
   SMALL(
   IF(
    (ISNUMBER(SEARCH("A",SCHEDULE!H$1:H$76)))*
   ( (SCHEDULE!G$1:G$76=$B19)+(SCHEDULE!G$1:G$76=$C19)+(SCHEDULE!G$1:G$76=$D19)+(SCHEDULE!G$1:G$76=$E19)+(SCHEDULE!G$1:G$76=$F19)+ (SCHEDULE!I$1:I$76=$G19) ),
     ROW(SCHEDULE!AP$1:AP$76),
     ""
    ),COUNTIF($H$18:$H19,$H19)
  )
 ),"
Missing")</f>
        <v xml:space="preserve">
Missing</v>
      </c>
      <c r="L19" s="210" t="str">
        <f t="array" ref="L19">IFERROR(
 INDEX(
  SCHEDULE!$A$1:$A$76,
   SMALL(
   IF(
    (ISNUMBER(SEARCH("A",SCHEDULE!I$1:I$76)))*
   ( (SCHEDULE!H$1:H$76=$B19)+(SCHEDULE!H$1:H$76=$C19)+(SCHEDULE!H$1:H$76=$D19)+(SCHEDULE!H$1:H$76=$E19)+(SCHEDULE!H$1:H$76=$F19)+ (SCHEDULE!J$1:J$76=$G19) ),
     ROW(SCHEDULE!AQ$1:AQ$76),
     ""
    ),COUNTIF($H$18:$H19,$H19)
  )
 ),"
Missing")</f>
        <v>Agent</v>
      </c>
      <c r="M19" s="210" t="str">
        <f t="array" ref="M19">IFERROR(
 INDEX(
  SCHEDULE!$A$1:$A$76,
   SMALL(
   IF(
    (ISNUMBER(SEARCH("A",SCHEDULE!J$1:J$76)))*
   ( (SCHEDULE!I$1:I$76=$B19)+(SCHEDULE!I$1:I$76=$C19)+(SCHEDULE!I$1:I$76=$D19)+(SCHEDULE!I$1:I$76=$E19)+(SCHEDULE!I$1:I$76=$F19)+ (SCHEDULE!K$1:K$76=$G19) ),
     ROW(SCHEDULE!AR$1:AR$76),
     ""
    ),COUNTIF($H$18:$H19,$H19)
  )
 ),"
Missing")</f>
        <v>Tim Marshall</v>
      </c>
      <c r="N19" s="210" t="str">
        <f t="array" ref="N19">IFERROR(
 INDEX(
  SCHEDULE!$A$1:$A$76,
   SMALL(
   IF(
    (ISNUMBER(SEARCH("A",SCHEDULE!K$1:K$76)))*
   ( (SCHEDULE!J$1:J$76=$B19)+(SCHEDULE!J$1:J$76=$C19)+(SCHEDULE!J$1:J$76=$D19)+(SCHEDULE!J$1:J$76=$E19)+(SCHEDULE!J$1:J$76=$F19)+ (SCHEDULE!L$1:L$76=$G19) ),
     ROW(SCHEDULE!AS$1:AS$76),
     ""
    ),COUNTIF($H$18:$H19,$H19)
  )
 ),"
Missing")</f>
        <v xml:space="preserve">
Missing</v>
      </c>
      <c r="O19" s="210" t="str">
        <f t="array" ref="O19">IFERROR(
 INDEX(
  SCHEDULE!$A$1:$A$76,
   SMALL(
   IF(
    (ISNUMBER(SEARCH("A",SCHEDULE!L$1:L$76)))*
   ( (SCHEDULE!K$1:K$76=$B19)+(SCHEDULE!K$1:K$76=$C19)+(SCHEDULE!K$1:K$76=$D19)+(SCHEDULE!K$1:K$76=$E19)+(SCHEDULE!K$1:K$76=$F19)+ (SCHEDULE!M$1:M$76=$G19) ),
     ROW(SCHEDULE!AT$1:AT$76),
     ""
    ),COUNTIF($H$18:$H19,$H19)
  )
 ),"
Missing")</f>
        <v>Blaze Chabot</v>
      </c>
      <c r="P19" s="210" t="str">
        <f t="array" ref="P19">IFERROR(
 INDEX(
  SCHEDULE!$A$1:$A$76,
   SMALL(
   IF(
    (ISNUMBER(SEARCH("A",SCHEDULE!M$1:M$76)))*
   ( (SCHEDULE!L$1:L$76=$B19)+(SCHEDULE!L$1:L$76=$C19)+(SCHEDULE!L$1:L$76=$D19)+(SCHEDULE!L$1:L$76=$E19)+(SCHEDULE!L$1:L$76=$F19)+ (SCHEDULE!N$1:N$76=$G19) ),
     ROW(SCHEDULE!AU$1:AU$76),
     ""
    ),COUNTIF($H$18:$H19,$H19)
  )
 ),"
Missing")</f>
        <v>Tim Marshall</v>
      </c>
      <c r="Q19" s="210" t="str">
        <f t="array" ref="Q19">IFERROR(
 INDEX(
  SCHEDULE!$A$1:$A$76,
   SMALL(
   IF(
    (ISNUMBER(SEARCH("A",SCHEDULE!N$1:N$76)))*
   ( (SCHEDULE!M$1:M$76=$B19)+(SCHEDULE!M$1:M$76=$C19)+(SCHEDULE!M$1:M$76=$D19)+(SCHEDULE!M$1:M$76=$E19)+(SCHEDULE!M$1:M$76=$F19)+ (SCHEDULE!O$1:O$76=$G19) ),
     ROW(SCHEDULE!AV$1:AV$76),
     ""
    ),COUNTIF($H$18:$H19,$H19)
  )
 ),"
Missing")</f>
        <v>Cameron Wood</v>
      </c>
      <c r="R19" s="210" t="str">
        <f t="array" ref="R19">IFERROR(
 INDEX(
  SCHEDULE!$A$1:$A$76,
   SMALL(
   IF(
    (ISNUMBER(SEARCH("A",SCHEDULE!O$1:O$76)))*
   ( (SCHEDULE!N$1:N$76=$B19)+(SCHEDULE!N$1:N$76=$C19)+(SCHEDULE!N$1:N$76=$D19)+(SCHEDULE!N$1:N$76=$E19)+(SCHEDULE!N$1:N$76=$F19)+ (SCHEDULE!P$1:P$76=$G19) ),
     ROW(SCHEDULE!AW$1:AW$76),
     ""
    ),COUNTIF($H$18:$H19,$H19)
  )
 ),"
Missing")</f>
        <v xml:space="preserve">
Missing</v>
      </c>
      <c r="S19" s="210" t="str">
        <f t="array" ref="S19">IFERROR(
 INDEX(
  SCHEDULE!$A$1:$A$76,
   SMALL(
   IF(
    (ISNUMBER(SEARCH("A",SCHEDULE!P$1:P$76)))*
   ( (SCHEDULE!O$1:O$76=$B19)+(SCHEDULE!O$1:O$76=$C19)+(SCHEDULE!O$1:O$76=$D19)+(SCHEDULE!O$1:O$76=$E19)+(SCHEDULE!O$1:O$76=$F19)+ (SCHEDULE!Q$1:Q$76=$G19) ),
     ROW(SCHEDULE!AX$1:AX$76),
     ""
    ),COUNTIF($H$18:$H19,$H19)
  )
 ),"
Missing")</f>
        <v>Micah Heaton</v>
      </c>
      <c r="T19" s="210" t="str">
        <f t="array" ref="T19">IFERROR(
 INDEX(
  SCHEDULE!$A$1:$A$76,
   SMALL(
   IF(
    (ISNUMBER(SEARCH("A",SCHEDULE!Q$1:Q$76)))*
   ( (SCHEDULE!P$1:P$76=$B19)+(SCHEDULE!P$1:P$76=$C19)+(SCHEDULE!P$1:P$76=$D19)+(SCHEDULE!P$1:P$76=$E19)+(SCHEDULE!P$1:P$76=$F19)+ (SCHEDULE!R$1:R$76=$G19) ),
     ROW(SCHEDULE!AY$1:AY$76),
     ""
    ),COUNTIF($H$18:$H19,$H19)
  )
 ),"
Missing")</f>
        <v>Cameron Wood</v>
      </c>
      <c r="U19" s="210" t="str">
        <f t="array" ref="U19">IFERROR(
 INDEX(
  SCHEDULE!$A$1:$A$76,
   SMALL(
   IF(
    (ISNUMBER(SEARCH("A",SCHEDULE!R$1:R$76)))*
   ( (SCHEDULE!Q$1:Q$76=$B19)+(SCHEDULE!Q$1:Q$76=$C19)+(SCHEDULE!Q$1:Q$76=$D19)+(SCHEDULE!Q$1:Q$76=$E19)+(SCHEDULE!Q$1:Q$76=$F19)+ (SCHEDULE!S$1:S$76=$G19) ),
     ROW(SCHEDULE!AZ$1:AZ$76),
     ""
    ),COUNTIF($H$18:$H19,$H19)
  )
 ),"
Missing")</f>
        <v xml:space="preserve">
Missing</v>
      </c>
      <c r="V19" s="210" t="str">
        <f t="array" ref="V19">IFERROR(
 INDEX(
  SCHEDULE!$A$1:$A$76,
   SMALL(
   IF(
    (ISNUMBER(SEARCH("A",SCHEDULE!S$1:S$76)))*
   ( (SCHEDULE!R$1:R$76=$B19)+(SCHEDULE!R$1:R$76=$C19)+(SCHEDULE!R$1:R$76=$D19)+(SCHEDULE!R$1:R$76=$E19)+(SCHEDULE!R$1:R$76=$F19)+ (SCHEDULE!T$1:T$76=$G19) ),
     ROW(SCHEDULE!BA$1:BA$76),
     ""
    ),COUNTIF($H$18:$H19,$H19)
  )
 ),"
Missing")</f>
        <v>Tim Marshall</v>
      </c>
      <c r="W19" s="210" t="str">
        <f t="array" ref="W19">IFERROR(
 INDEX(
  SCHEDULE!$A$1:$A$76,
   SMALL(
   IF(
    (ISNUMBER(SEARCH("A",SCHEDULE!T$1:T$76)))*
   ( (SCHEDULE!S$1:S$76=$B19)+(SCHEDULE!S$1:S$76=$C19)+(SCHEDULE!S$1:S$76=$D19)+(SCHEDULE!S$1:S$76=$E19)+(SCHEDULE!S$1:S$76=$F19)+ (SCHEDULE!U$1:U$76=$G19) ),
     ROW(SCHEDULE!BB$1:BB$76),
     ""
    ),COUNTIF($H$18:$H19,$H19)
  )
 ),"
Missing")</f>
        <v>Cameron Wood</v>
      </c>
      <c r="X19" s="210" t="str">
        <f t="array" ref="X19">IFERROR(
 INDEX(
  SCHEDULE!$A$1:$A$76,
   SMALL(
   IF(
    (ISNUMBER(SEARCH("A",SCHEDULE!U$1:U$76)))*
   ( (SCHEDULE!T$1:T$76=$B19)+(SCHEDULE!T$1:T$76=$C19)+(SCHEDULE!T$1:T$76=$D19)+(SCHEDULE!T$1:T$76=$E19)+(SCHEDULE!T$1:T$76=$F19)+ (SCHEDULE!V$1:V$76=$G19) ),
     ROW(SCHEDULE!BC$1:BC$76),
     ""
    ),COUNTIF($H$18:$H19,$H19)
  )
 ),"
Missing")</f>
        <v xml:space="preserve">
Missing</v>
      </c>
      <c r="Y19" s="210" t="str">
        <f t="array" ref="Y19">IFERROR(
 INDEX(
  SCHEDULE!$A$1:$A$76,
   SMALL(
   IF(
    (ISNUMBER(SEARCH("A",SCHEDULE!V$1:V$76)))*
   ( (SCHEDULE!U$1:U$76=$B19)+(SCHEDULE!U$1:U$76=$C19)+(SCHEDULE!U$1:U$76=$D19)+(SCHEDULE!U$1:U$76=$E19)+(SCHEDULE!U$1:U$76=$F19)+ (SCHEDULE!W$1:W$76=$G19) ),
     ROW(SCHEDULE!BD$1:BD$76),
     ""
    ),COUNTIF($H$18:$H19,$H19)
  )
 ),"
Missing")</f>
        <v>Tim Marshall</v>
      </c>
      <c r="Z19" s="210" t="str">
        <f t="array" ref="Z19">IFERROR(
 INDEX(
  SCHEDULE!$A$1:$A$76,
   SMALL(
   IF(
    (ISNUMBER(SEARCH("A",SCHEDULE!W$1:W$76)))*
   ( (SCHEDULE!V$1:V$76=$B19)+(SCHEDULE!V$1:V$76=$C19)+(SCHEDULE!V$1:V$76=$D19)+(SCHEDULE!V$1:V$76=$E19)+(SCHEDULE!V$1:V$76=$F19)+ (SCHEDULE!X$1:X$76=$G19) ),
     ROW(SCHEDULE!BE$1:BE$76),
     ""
    ),COUNTIF($H$18:$H19,$H19)
  )
 ),"
Missing")</f>
        <v>Cameron Wood</v>
      </c>
      <c r="AA19" s="210" t="str">
        <f t="array" ref="AA19">IFERROR(
 INDEX(
  SCHEDULE!$A$1:$A$76,
   SMALL(
   IF(
    (ISNUMBER(SEARCH("A",SCHEDULE!X$1:X$76)))*
   ( (SCHEDULE!W$1:W$76=$B19)+(SCHEDULE!W$1:W$76=$C19)+(SCHEDULE!W$1:W$76=$D19)+(SCHEDULE!W$1:W$76=$E19)+(SCHEDULE!W$1:W$76=$F19)+ (SCHEDULE!Y$1:Y$76=$G19) ),
     ROW(SCHEDULE!BF$1:BF$76),
     ""
    ),COUNTIF($H$18:$H19,$H19)
  )
 ),"
Missing")</f>
        <v xml:space="preserve">
Missing</v>
      </c>
      <c r="AB19" s="210" t="str">
        <f t="array" ref="AB19">IFERROR(
 INDEX(
  SCHEDULE!$A$1:$A$76,
   SMALL(
   IF(
    (ISNUMBER(SEARCH("A",SCHEDULE!Y$1:Y$76)))*
   ( (SCHEDULE!X$1:X$76=$B19)+(SCHEDULE!X$1:X$76=$C19)+(SCHEDULE!X$1:X$76=$D19)+(SCHEDULE!X$1:X$76=$E19)+(SCHEDULE!X$1:X$76=$F19)+ (SCHEDULE!Z$1:Z$76=$G19) ),
     ROW(SCHEDULE!BG$1:BG$76),
     ""
    ),COUNTIF($H$18:$H19,$H19)
  )
 ),"
Missing")</f>
        <v>Tim Marshall</v>
      </c>
      <c r="AC19" s="210" t="str">
        <f t="array" ref="AC19">IFERROR(
 INDEX(
  SCHEDULE!$A$1:$A$76,
   SMALL(
   IF(
    (ISNUMBER(SEARCH("A",SCHEDULE!Z$1:Z$76)))*
   ( (SCHEDULE!Y$1:Y$76=$B19)+(SCHEDULE!Y$1:Y$76=$C19)+(SCHEDULE!Y$1:Y$76=$D19)+(SCHEDULE!Y$1:Y$76=$E19)+(SCHEDULE!Y$1:Y$76=$F19)+ (SCHEDULE!AA$1:AA$76=$G19) ),
     ROW(SCHEDULE!BH$1:BH$76),
     ""
    ),COUNTIF($H$18:$H19,$H19)
  )
 ),"
Missing")</f>
        <v>Cameron Wood</v>
      </c>
      <c r="AD19" s="210" t="str">
        <f t="array" ref="AD19">IFERROR(
 INDEX(
  SCHEDULE!$A$1:$A$76,
   SMALL(
   IF(
    (ISNUMBER(SEARCH("A",SCHEDULE!AA$1:AA$76)))*
   ( (SCHEDULE!Z$1:Z$76=$B19)+(SCHEDULE!Z$1:Z$76=$C19)+(SCHEDULE!Z$1:Z$76=$D19)+(SCHEDULE!Z$1:Z$76=$E19)+(SCHEDULE!Z$1:Z$76=$F19)+ (SCHEDULE!AB$1:AB$76=$G19) ),
     ROW(SCHEDULE!BI$1:BI$76),
     ""
    ),COUNTIF($H$18:$H19,$H19)
  )
 ),"
Missing")</f>
        <v xml:space="preserve">
Missing</v>
      </c>
      <c r="AE19" s="210" t="str">
        <f t="array" ref="AE19">IFERROR(
 INDEX(
  SCHEDULE!$A$1:$A$76,
   SMALL(
   IF(
    (ISNUMBER(SEARCH("A",SCHEDULE!AB$1:AB$76)))*
   ( (SCHEDULE!AA$1:AA$76=$B19)+(SCHEDULE!AA$1:AA$76=$C19)+(SCHEDULE!AA$1:AA$76=$D19)+(SCHEDULE!AA$1:AA$76=$E19)+(SCHEDULE!AA$1:AA$76=$F19)+ (SCHEDULE!AC$1:AC$76=$G19) ),
     ROW(SCHEDULE!BJ$1:BJ$76),
     ""
    ),COUNTIF($H$18:$H19,$H19)
  )
 ),"
Missing")</f>
        <v>Bret Rowan</v>
      </c>
      <c r="AF19" s="210" t="str">
        <f t="array" ref="AF19">IFERROR(
 INDEX(
  SCHEDULE!$A$1:$A$76,
   SMALL(
   IF(
    (ISNUMBER(SEARCH("A",SCHEDULE!AC$1:AC$76)))*
   ( (SCHEDULE!AB$1:AB$76=$B19)+(SCHEDULE!AB$1:AB$76=$C19)+(SCHEDULE!AB$1:AB$76=$D19)+(SCHEDULE!AB$1:AB$76=$E19)+(SCHEDULE!AB$1:AB$76=$F19)+ (SCHEDULE!AD$1:AD$76=$G19) ),
     ROW(SCHEDULE!BK$1:BK$76),
     ""
    ),COUNTIF($H$18:$H19,$H19)
  )
 ),"
Missing")</f>
        <v xml:space="preserve">
Missing</v>
      </c>
      <c r="AG19" s="210" t="str">
        <f t="array" ref="AG19">IFERROR(
 INDEX(
  SCHEDULE!$A$1:$A$76,
   SMALL(
   IF(
    (ISNUMBER(SEARCH("A",SCHEDULE!AD$1:AD$76)))*
   ( (SCHEDULE!AC$1:AC$76=$B19)+(SCHEDULE!AC$1:AC$76=$C19)+(SCHEDULE!AC$1:AC$76=$D19)+(SCHEDULE!AC$1:AC$76=$E19)+(SCHEDULE!AC$1:AC$76=$F19)+ (SCHEDULE!AE$1:AE$76=$G19) ),
     ROW(SCHEDULE!BL$1:BL$76),
     ""
    ),COUNTIF($H$18:$H19,$H19)
  )
 ),"
Missing")</f>
        <v xml:space="preserve">
Missing</v>
      </c>
      <c r="AH19" s="210" t="str">
        <f t="array" ref="AH19">IFERROR(
 INDEX(
  SCHEDULE!$A$1:$A$76,
   SMALL(
   IF(
    (ISNUMBER(SEARCH("A",SCHEDULE!AE$1:AE$76)))*
   ( (SCHEDULE!AD$1:AD$76=$B19)+(SCHEDULE!AD$1:AD$76=$C19)+(SCHEDULE!AD$1:AD$76=$D19)+(SCHEDULE!AD$1:AD$76=$E19)+(SCHEDULE!AD$1:AD$76=$F19)+ (SCHEDULE!AF$1:AF$76=$G19) ),
     ROW(SCHEDULE!BM$1:BM$76),
     ""
    ),COUNTIF($H$18:$H19,$H19)
  )
 ),"
Missing")</f>
        <v>Agent</v>
      </c>
      <c r="AI19" s="210" t="str">
        <f t="array" ref="AI19">IFERROR(
 INDEX(
  SCHEDULE!$A$1:$A$76,
   SMALL(
   IF(
    (ISNUMBER(SEARCH("A",SCHEDULE!AF$1:AF$76)))*
   ( (SCHEDULE!AE$1:AE$76=$B19)+(SCHEDULE!AE$1:AE$76=$C19)+(SCHEDULE!AE$1:AE$76=$D19)+(SCHEDULE!AE$1:AE$76=$E19)+(SCHEDULE!AE$1:AE$76=$F19)+ (SCHEDULE!AG$1:AG$76=$G19) ),
     ROW(SCHEDULE!BN$1:BN$76),
     ""
    ),COUNTIF($H$18:$H19,$H19)
  )
 ),"
Missing")</f>
        <v>Milena Norton</v>
      </c>
      <c r="AJ19" s="210" t="str">
        <f t="array" ref="AJ19">IFERROR(
 INDEX(
  SCHEDULE!$A$1:$A$76,
   SMALL(
   IF(
    (ISNUMBER(SEARCH("A",SCHEDULE!AG$1:AG$76)))*
   ( (SCHEDULE!AF$1:AF$76=$B19)+(SCHEDULE!AF$1:AF$76=$C19)+(SCHEDULE!AF$1:AF$76=$D19)+(SCHEDULE!AF$1:AF$76=$E19)+(SCHEDULE!AF$1:AF$76=$F19)+ (SCHEDULE!AH$1:AH$76=$G19) ),
     ROW(SCHEDULE!BO$1:BO$76),
     ""
    ),COUNTIF($H$18:$H19,$H19)
  )
 ),"
Missing")</f>
        <v xml:space="preserve">
Missing</v>
      </c>
      <c r="AK19" s="210" t="str">
        <f t="array" ref="AK19">IFERROR(
 INDEX(
  SCHEDULE!$A$1:$A$76,
   SMALL(
   IF(
    (ISNUMBER(SEARCH("A",SCHEDULE!AH$1:AH$76)))*
   ( (SCHEDULE!AG$1:AG$76=$B19)+(SCHEDULE!AG$1:AG$76=$C19)+(SCHEDULE!AG$1:AG$76=$D19)+(SCHEDULE!AG$1:AG$76=$E19)+(SCHEDULE!AG$1:AG$76=$F19)+ (SCHEDULE!AI$1:AI$76=$G19) ),
     ROW(SCHEDULE!BP$1:BP$76),
     ""
    ),COUNTIF($H$18:$H19,$H19)
  )
 ),"
Missing")</f>
        <v>Andrew Metcalf</v>
      </c>
      <c r="AL19" s="210" t="str">
        <f t="array" ref="AL19">IFERROR(
 INDEX(
  SCHEDULE!$A$1:$A$76,
   SMALL(
   IF(
    (ISNUMBER(SEARCH("A",SCHEDULE!AI$1:AI$76)))*
   ( (SCHEDULE!AH$1:AH$76=$B19)+(SCHEDULE!AH$1:AH$76=$C19)+(SCHEDULE!AH$1:AH$76=$D19)+(SCHEDULE!AH$1:AH$76=$E19)+(SCHEDULE!AH$1:AH$76=$F19)+ (SCHEDULE!AJ$1:AJ$76=$G19) ),
     ROW(SCHEDULE!BQ$1:BQ$76),
     ""
    ),COUNTIF($H$18:$H19,$H19)
  )
 ),"
Missing")</f>
        <v>Tim Marshall</v>
      </c>
      <c r="AM19" s="210" t="str">
        <f t="array" ref="AM19">IFERROR(
 INDEX(
  SCHEDULE!$A$1:$A$76,
   SMALL(
   IF(
    (ISNUMBER(SEARCH("A",SCHEDULE!AJ$1:AJ$76)))*
   ( (SCHEDULE!AI$1:AI$76=$B19)+(SCHEDULE!AI$1:AI$76=$C19)+(SCHEDULE!AI$1:AI$76=$D19)+(SCHEDULE!AI$1:AI$76=$E19)+(SCHEDULE!AI$1:AI$76=$F19)+ (SCHEDULE!AK$1:AK$76=$G19) ),
     ROW(SCHEDULE!BR$1:BR$76),
     ""
    ),COUNTIF($H$18:$H19,$H19)
  )
 ),"
Missing")</f>
        <v>Cameron Wood</v>
      </c>
      <c r="AN19" s="210" t="str">
        <f t="array" ref="AN19">IFERROR(
 INDEX(
  SCHEDULE!$A$1:$A$76,
   SMALL(
   IF(
    (ISNUMBER(SEARCH("A",SCHEDULE!AK$1:AK$76)))*
   ( (SCHEDULE!AJ$1:AJ$76=$B19)+(SCHEDULE!AJ$1:AJ$76=$C19)+(SCHEDULE!AJ$1:AJ$76=$D19)+(SCHEDULE!AJ$1:AJ$76=$E19)+(SCHEDULE!AJ$1:AJ$76=$F19)+ (SCHEDULE!AL$1:AL$76=$G19) ),
     ROW(SCHEDULE!BS$1:BS$76),
     ""
    ),COUNTIF($H$18:$H19,$H19)
  )
 ),"
Missing")</f>
        <v>Andrew Metcalf</v>
      </c>
      <c r="AO19" s="210" t="str">
        <f t="array" ref="AO19">IFERROR(
 INDEX(
  SCHEDULE!$A$1:$A$76,
   SMALL(
   IF(
    (ISNUMBER(SEARCH("A",SCHEDULE!AL$1:AL$76)))*
   ( (SCHEDULE!AK$1:AK$76=$B19)+(SCHEDULE!AK$1:AK$76=$C19)+(SCHEDULE!AK$1:AK$76=$D19)+(SCHEDULE!AK$1:AK$76=$E19)+(SCHEDULE!AK$1:AK$76=$F19)+ (SCHEDULE!AM$1:AM$76=$G19) ),
     ROW(SCHEDULE!BT$1:BT$76),
     ""
    ),COUNTIF($H$18:$H19,$H19)
  )
 ),"
Missing")</f>
        <v>Tim Marshall</v>
      </c>
      <c r="AP19" s="210" t="str">
        <f t="array" ref="AP19">IFERROR(
 INDEX(
  SCHEDULE!$A$1:$A$76,
   SMALL(
   IF(
    (ISNUMBER(SEARCH("A",SCHEDULE!AM$1:AM$76)))*
   ( (SCHEDULE!AL$1:AL$76=$B19)+(SCHEDULE!AL$1:AL$76=$C19)+(SCHEDULE!AL$1:AL$76=$D19)+(SCHEDULE!AL$1:AL$76=$E19)+(SCHEDULE!AL$1:AL$76=$F19)+ (SCHEDULE!AN$1:AN$76=$G19) ),
     ROW(SCHEDULE!BU$1:BU$76),
     ""
    ),COUNTIF($H$18:$H19,$H19)
  )
 ),"
Missing")</f>
        <v>Cameron Wood</v>
      </c>
      <c r="AQ19" s="210" t="str">
        <f t="array" ref="AQ19">IFERROR(
 INDEX(
  SCHEDULE!$A$1:$A$76,
   SMALL(
   IF(
    (ISNUMBER(SEARCH("A",SCHEDULE!AN$1:AN$76)))*
   ( (SCHEDULE!AM$1:AM$76=$B19)+(SCHEDULE!AM$1:AM$76=$C19)+(SCHEDULE!AM$1:AM$76=$D19)+(SCHEDULE!AM$1:AM$76=$E19)+(SCHEDULE!AM$1:AM$76=$F19)+ (SCHEDULE!AO$1:AO$76=$G19) ),
     ROW(SCHEDULE!BV$1:BV$76),
     ""
    ),COUNTIF($H$18:$H19,$H19)
  )
 ),"
Missing")</f>
        <v>Andrew Metcalf</v>
      </c>
      <c r="AR19" s="210" t="str">
        <f t="array" ref="AR19">IFERROR(
 INDEX(
  SCHEDULE!$A$1:$A$76,
   SMALL(
   IF(
    (ISNUMBER(SEARCH("A",SCHEDULE!AO$1:AO$76)))*
   ( (SCHEDULE!AN$1:AN$76=$B19)+(SCHEDULE!AN$1:AN$76=$C19)+(SCHEDULE!AN$1:AN$76=$D19)+(SCHEDULE!AN$1:AN$76=$E19)+(SCHEDULE!AN$1:AN$76=$F19)+ (SCHEDULE!AP$1:AP$76=$G19) ),
     ROW(SCHEDULE!BW$1:BW$76),
     ""
    ),COUNTIF($H$18:$H19,$H19)
  )
 ),"
Missing")</f>
        <v xml:space="preserve">
Missing</v>
      </c>
      <c r="AS19" s="210" t="str">
        <f t="array" ref="AS19">IFERROR(
 INDEX(
  SCHEDULE!$A$1:$A$76,
   SMALL(
   IF(
    (ISNUMBER(SEARCH("A",SCHEDULE!AP$1:AP$76)))*
   ( (SCHEDULE!AO$1:AO$76=$B19)+(SCHEDULE!AO$1:AO$76=$C19)+(SCHEDULE!AO$1:AO$76=$D19)+(SCHEDULE!AO$1:AO$76=$E19)+(SCHEDULE!AO$1:AO$76=$F19)+ (SCHEDULE!AQ$1:AQ$76=$G19) ),
     ROW(SCHEDULE!BX$1:BX$76),
     ""
    ),COUNTIF($H$18:$H19,$H19)
  )
 ),"
Missing")</f>
        <v>Cameron Wood</v>
      </c>
      <c r="AT19" s="210" t="str">
        <f t="array" ref="AT19">IFERROR(
 INDEX(
  SCHEDULE!$A$1:$A$76,
   SMALL(
   IF(
    (ISNUMBER(SEARCH("A",SCHEDULE!AQ$1:AQ$76)))*
   ( (SCHEDULE!AP$1:AP$76=$B19)+(SCHEDULE!AP$1:AP$76=$C19)+(SCHEDULE!AP$1:AP$76=$D19)+(SCHEDULE!AP$1:AP$76=$E19)+(SCHEDULE!AP$1:AP$76=$F19)+ (SCHEDULE!AR$1:AR$76=$G19) ),
     ROW(SCHEDULE!BY$1:BY$76),
     ""
    ),COUNTIF($H$18:$H19,$H19)
  )
 ),"
Missing")</f>
        <v>Andrew Metcalf</v>
      </c>
      <c r="AU19" s="210" t="str">
        <f t="array" ref="AU19">IFERROR(
 INDEX(
  SCHEDULE!$A$1:$A$76,
   SMALL(
   IF(
    (ISNUMBER(SEARCH("A",SCHEDULE!AR$1:AR$76)))*
   ( (SCHEDULE!AQ$1:AQ$76=$B19)+(SCHEDULE!AQ$1:AQ$76=$C19)+(SCHEDULE!AQ$1:AQ$76=$D19)+(SCHEDULE!AQ$1:AQ$76=$E19)+(SCHEDULE!AQ$1:AQ$76=$F19)+ (SCHEDULE!AS$1:AS$76=$G19) ),
     ROW(SCHEDULE!BZ$1:BZ$76),
     ""
    ),COUNTIF($H$18:$H19,$H19)
  )
 ),"
Missing")</f>
        <v>Tim Marshall</v>
      </c>
      <c r="AV19" s="210" t="str">
        <f t="array" ref="AV19">IFERROR(
 INDEX(
  SCHEDULE!$A$1:$A$76,
   SMALL(
   IF(
    (ISNUMBER(SEARCH("A",SCHEDULE!AS$1:AS$76)))*
   ( (SCHEDULE!AR$1:AR$76=$B19)+(SCHEDULE!AR$1:AR$76=$C19)+(SCHEDULE!AR$1:AR$76=$D19)+(SCHEDULE!AR$1:AR$76=$E19)+(SCHEDULE!AR$1:AR$76=$F19)+ (SCHEDULE!AT$1:AT$76=$G19) ),
     ROW(SCHEDULE!CA$1:CA$76),
     ""
    ),COUNTIF($H$18:$H19,$H19)
  )
 ),"
Missing")</f>
        <v xml:space="preserve">
Missing</v>
      </c>
      <c r="AW19" s="210" t="str">
        <f t="array" ref="AW19">IFERROR(
 INDEX(
  SCHEDULE!$A$1:$A$76,
   SMALL(
   IF(
    (ISNUMBER(SEARCH("A",SCHEDULE!AT$1:AT$76)))*
   ( (SCHEDULE!AS$1:AS$76=$B19)+(SCHEDULE!AS$1:AS$76=$C19)+(SCHEDULE!AS$1:AS$76=$D19)+(SCHEDULE!AS$1:AS$76=$E19)+(SCHEDULE!AS$1:AS$76=$F19)+ (SCHEDULE!AU$1:AU$76=$G19) ),
     ROW(SCHEDULE!CB$1:CB$76),
     ""
    ),COUNTIF($H$18:$H19,$H19)
  )
 ),"
Missing")</f>
        <v>Andrew Metcalf</v>
      </c>
      <c r="AX19" s="210" t="str">
        <f t="array" ref="AX19">IFERROR(
 INDEX(
  SCHEDULE!$A$1:$A$76,
   SMALL(
   IF(
    (ISNUMBER(SEARCH("A",SCHEDULE!AU$1:AU$76)))*
   ( (SCHEDULE!AT$1:AT$76=$B19)+(SCHEDULE!AT$1:AT$76=$C19)+(SCHEDULE!AT$1:AT$76=$D19)+(SCHEDULE!AT$1:AT$76=$E19)+(SCHEDULE!AT$1:AT$76=$F19)+ (SCHEDULE!AV$1:AV$76=$G19) ),
     ROW(SCHEDULE!CC$1:CC$76),
     ""
    ),COUNTIF($H$18:$H19,$H19)
  )
 ),"
Missing")</f>
        <v>Tim Marshall</v>
      </c>
      <c r="AY19" s="210" t="str">
        <f t="array" ref="AY19">IFERROR(
 INDEX(
  SCHEDULE!$A$1:$A$76,
   SMALL(
   IF(
    (ISNUMBER(SEARCH("A",SCHEDULE!AV$1:AV$76)))*
   ( (SCHEDULE!AU$1:AU$76=$B19)+(SCHEDULE!AU$1:AU$76=$C19)+(SCHEDULE!AU$1:AU$76=$D19)+(SCHEDULE!AU$1:AU$76=$E19)+(SCHEDULE!AU$1:AU$76=$F19)+ (SCHEDULE!AW$1:AW$76=$G19) ),
     ROW(SCHEDULE!CD$1:CD$76),
     ""
    ),COUNTIF($H$18:$H19,$H19)
  )
 ),"
Missing")</f>
        <v xml:space="preserve">
Missing</v>
      </c>
      <c r="AZ19" s="210" t="str">
        <f t="array" ref="AZ19">IFERROR(
 INDEX(
  SCHEDULE!$A$1:$A$76,
   SMALL(
   IF(
    (ISNUMBER(SEARCH("A",SCHEDULE!AW$1:AW$76)))*
   ( (SCHEDULE!AV$1:AV$76=$B19)+(SCHEDULE!AV$1:AV$76=$C19)+(SCHEDULE!AV$1:AV$76=$D19)+(SCHEDULE!AV$1:AV$76=$E19)+(SCHEDULE!AV$1:AV$76=$F19)+ (SCHEDULE!AX$1:AX$76=$G19) ),
     ROW(SCHEDULE!CE$1:CE$76),
     ""
    ),COUNTIF($H$18:$H19,$H19)
  )
 ),"
Missing")</f>
        <v xml:space="preserve">
Missing</v>
      </c>
      <c r="BA19" s="210" t="str">
        <f t="array" ref="BA19">IFERROR(
 INDEX(
  SCHEDULE!$A$1:$A$76,
   SMALL(
   IF(
    (ISNUMBER(SEARCH("A",SCHEDULE!AX$1:AX$76)))*
   ( (SCHEDULE!AW$1:AW$76=$B19)+(SCHEDULE!AW$1:AW$76=$C19)+(SCHEDULE!AW$1:AW$76=$D19)+(SCHEDULE!AW$1:AW$76=$E19)+(SCHEDULE!AW$1:AW$76=$F19)+ (SCHEDULE!AY$1:AY$76=$G19) ),
     ROW(SCHEDULE!CF$1:CF$76),
     ""
    ),COUNTIF($H$18:$H19,$H19)
  )
 ),"
Missing")</f>
        <v>Sean VanBuskirk</v>
      </c>
      <c r="BB19" s="210" t="str">
        <f t="array" ref="BB19">IFERROR(
 INDEX(
  SCHEDULE!$A$1:$A$76,
   SMALL(
   IF(
    (ISNUMBER(SEARCH("A",SCHEDULE!AY$1:AY$76)))*
   ( (SCHEDULE!AX$1:AX$76=$B19)+(SCHEDULE!AX$1:AX$76=$C19)+(SCHEDULE!AX$1:AX$76=$D19)+(SCHEDULE!AX$1:AX$76=$E19)+(SCHEDULE!AX$1:AX$76=$F19)+ (SCHEDULE!AZ$1:AZ$76=$G19) ),
     ROW(SCHEDULE!CG$1:CG$76),
     ""
    ),COUNTIF($H$18:$H19,$H19)
  )
 ),"
Missing")</f>
        <v xml:space="preserve">
Missing</v>
      </c>
      <c r="BC19" s="210" t="str">
        <f t="array" ref="BC19">IFERROR(
 INDEX(
  SCHEDULE!$A$1:$A$76,
   SMALL(
   IF(
    (ISNUMBER(SEARCH("A",SCHEDULE!AZ$1:AZ$76)))*
   ( (SCHEDULE!AY$1:AY$76=$B19)+(SCHEDULE!AY$1:AY$76=$C19)+(SCHEDULE!AY$1:AY$76=$D19)+(SCHEDULE!AY$1:AY$76=$E19)+(SCHEDULE!AY$1:AY$76=$F19)+ (SCHEDULE!BA$1:BA$76=$G19) ),
     ROW(SCHEDULE!CH$1:CH$76),
     ""
    ),COUNTIF($H$18:$H19,$H19)
  )
 ),"
Missing")</f>
        <v xml:space="preserve">
Missing</v>
      </c>
      <c r="BD19" s="210" t="str">
        <f t="array" ref="BD19">IFERROR(
 INDEX(
  SCHEDULE!$A$1:$A$76,
   SMALL(
   IF(
    (ISNUMBER(SEARCH("A",SCHEDULE!BA$1:BA$76)))*
   ( (SCHEDULE!AZ$1:AZ$76=$B19)+(SCHEDULE!AZ$1:AZ$76=$C19)+(SCHEDULE!AZ$1:AZ$76=$D19)+(SCHEDULE!AZ$1:AZ$76=$E19)+(SCHEDULE!AZ$1:AZ$76=$F19)+ (SCHEDULE!BB$1:BB$76=$G19) ),
     ROW(SCHEDULE!CI$1:CI$76),
     ""
    ),COUNTIF($H$18:$H19,$H19)
  )
 ),"
Missing")</f>
        <v>Agent</v>
      </c>
      <c r="BE19" s="210" t="str">
        <f t="array" ref="BE19">IFERROR(
 INDEX(
  SCHEDULE!$A$1:$A$76,
   SMALL(
   IF(
    (ISNUMBER(SEARCH("A",SCHEDULE!BB$1:BB$76)))*
   ( (SCHEDULE!BA$1:BA$76=$B19)+(SCHEDULE!BA$1:BA$76=$C19)+(SCHEDULE!BA$1:BA$76=$D19)+(SCHEDULE!BA$1:BA$76=$E19)+(SCHEDULE!BA$1:BA$76=$F19)+ (SCHEDULE!BC$1:BC$76=$G19) ),
     ROW(SCHEDULE!CJ$1:CJ$76),
     ""
    ),COUNTIF($H$18:$H19,$H19)
  )
 ),"
Missing")</f>
        <v>Tregan Emmett</v>
      </c>
    </row>
    <row r="20" spans="2:57" hidden="1" x14ac:dyDescent="0.2">
      <c r="B20" s="203">
        <v>0.25</v>
      </c>
      <c r="C20" s="203" t="s">
        <v>105</v>
      </c>
      <c r="D20" s="203"/>
      <c r="E20" s="203"/>
      <c r="F20" s="203"/>
      <c r="G20" s="203" t="s">
        <v>89</v>
      </c>
      <c r="H20" s="205" t="s">
        <v>102</v>
      </c>
      <c r="I20" s="210" t="str">
        <f t="array" ref="I20">IFERROR(
 INDEX(
  SCHEDULE!$A$1:$A$76,
   SMALL(
   IF(
    (ISNUMBER(SEARCH("A",SCHEDULE!F$1:F$76)))*
   ( (SCHEDULE!E$1:E$76=$B20)+(SCHEDULE!E$1:E$76=$C20)+(SCHEDULE!E$1:E$76=$D20)+(SCHEDULE!E$1:E$76=$E20)+(SCHEDULE!E$1:E$76=$F20)+ (SCHEDULE!G$1:G$76=$G20) ),
     ROW(SCHEDULE!AN$1:AN$76),
     ""
    ),COUNTIF($H$18:$H20,$H20)
  )
 ),"
Missing")</f>
        <v xml:space="preserve">
Missing</v>
      </c>
      <c r="J20" s="210" t="str">
        <f t="array" ref="J20">IFERROR(
 INDEX(
  SCHEDULE!$A$1:$A$76,
   SMALL(
   IF(
    (ISNUMBER(SEARCH("A",SCHEDULE!G$1:G$76)))*
   ( (SCHEDULE!F$1:F$76=$B20)+(SCHEDULE!F$1:F$76=$C20)+(SCHEDULE!F$1:F$76=$D20)+(SCHEDULE!F$1:F$76=$E20)+(SCHEDULE!F$1:F$76=$F20)+ (SCHEDULE!H$1:H$76=$G20) ),
     ROW(SCHEDULE!AO$1:AO$76),
     ""
    ),COUNTIF($H$18:$H20,$H20)
  )
 ),"
Missing")</f>
        <v xml:space="preserve">
Missing</v>
      </c>
      <c r="K20" s="210" t="str">
        <f t="array" ref="K20">IFERROR(
 INDEX(
  SCHEDULE!$A$1:$A$76,
   SMALL(
   IF(
    (ISNUMBER(SEARCH("A",SCHEDULE!H$1:H$76)))*
   ( (SCHEDULE!G$1:G$76=$B20)+(SCHEDULE!G$1:G$76=$C20)+(SCHEDULE!G$1:G$76=$D20)+(SCHEDULE!G$1:G$76=$E20)+(SCHEDULE!G$1:G$76=$F20)+ (SCHEDULE!I$1:I$76=$G20) ),
     ROW(SCHEDULE!AP$1:AP$76),
     ""
    ),COUNTIF($H$18:$H20,$H20)
  )
 ),"
Missing")</f>
        <v xml:space="preserve">
Missing</v>
      </c>
      <c r="L20" s="210" t="str">
        <f t="array" ref="L20">IFERROR(
 INDEX(
  SCHEDULE!$A$1:$A$76,
   SMALL(
   IF(
    (ISNUMBER(SEARCH("A",SCHEDULE!I$1:I$76)))*
   ( (SCHEDULE!H$1:H$76=$B20)+(SCHEDULE!H$1:H$76=$C20)+(SCHEDULE!H$1:H$76=$D20)+(SCHEDULE!H$1:H$76=$E20)+(SCHEDULE!H$1:H$76=$F20)+ (SCHEDULE!J$1:J$76=$G20) ),
     ROW(SCHEDULE!AQ$1:AQ$76),
     ""
    ),COUNTIF($H$18:$H20,$H20)
  )
 ),"
Missing")</f>
        <v>L3</v>
      </c>
      <c r="M20" s="210" t="str">
        <f t="array" ref="M20">IFERROR(
 INDEX(
  SCHEDULE!$A$1:$A$76,
   SMALL(
   IF(
    (ISNUMBER(SEARCH("A",SCHEDULE!J$1:J$76)))*
   ( (SCHEDULE!I$1:I$76=$B20)+(SCHEDULE!I$1:I$76=$C20)+(SCHEDULE!I$1:I$76=$D20)+(SCHEDULE!I$1:I$76=$E20)+(SCHEDULE!I$1:I$76=$F20)+ (SCHEDULE!K$1:K$76=$G20) ),
     ROW(SCHEDULE!AR$1:AR$76),
     ""
    ),COUNTIF($H$18:$H20,$H20)
  )
 ),"
Missing")</f>
        <v xml:space="preserve">
Missing</v>
      </c>
      <c r="N20" s="210" t="str">
        <f t="array" ref="N20">IFERROR(
 INDEX(
  SCHEDULE!$A$1:$A$76,
   SMALL(
   IF(
    (ISNUMBER(SEARCH("A",SCHEDULE!K$1:K$76)))*
   ( (SCHEDULE!J$1:J$76=$B20)+(SCHEDULE!J$1:J$76=$C20)+(SCHEDULE!J$1:J$76=$D20)+(SCHEDULE!J$1:J$76=$E20)+(SCHEDULE!J$1:J$76=$F20)+ (SCHEDULE!L$1:L$76=$G20) ),
     ROW(SCHEDULE!AS$1:AS$76),
     ""
    ),COUNTIF($H$18:$H20,$H20)
  )
 ),"
Missing")</f>
        <v xml:space="preserve">
Missing</v>
      </c>
      <c r="O20" s="210" t="str">
        <f t="array" ref="O20">IFERROR(
 INDEX(
  SCHEDULE!$A$1:$A$76,
   SMALL(
   IF(
    (ISNUMBER(SEARCH("A",SCHEDULE!L$1:L$76)))*
   ( (SCHEDULE!K$1:K$76=$B20)+(SCHEDULE!K$1:K$76=$C20)+(SCHEDULE!K$1:K$76=$D20)+(SCHEDULE!K$1:K$76=$E20)+(SCHEDULE!K$1:K$76=$F20)+ (SCHEDULE!M$1:M$76=$G20) ),
     ROW(SCHEDULE!AT$1:AT$76),
     ""
    ),COUNTIF($H$18:$H20,$H20)
  )
 ),"
Missing")</f>
        <v>Cameron Wood</v>
      </c>
      <c r="P20" s="210" t="str">
        <f t="array" ref="P20">IFERROR(
 INDEX(
  SCHEDULE!$A$1:$A$76,
   SMALL(
   IF(
    (ISNUMBER(SEARCH("A",SCHEDULE!M$1:M$76)))*
   ( (SCHEDULE!L$1:L$76=$B20)+(SCHEDULE!L$1:L$76=$C20)+(SCHEDULE!L$1:L$76=$D20)+(SCHEDULE!L$1:L$76=$E20)+(SCHEDULE!L$1:L$76=$F20)+ (SCHEDULE!N$1:N$76=$G20) ),
     ROW(SCHEDULE!AU$1:AU$76),
     ""
    ),COUNTIF($H$18:$H20,$H20)
  )
 ),"
Missing")</f>
        <v xml:space="preserve">
Missing</v>
      </c>
      <c r="Q20" s="210" t="str">
        <f t="array" ref="Q20">IFERROR(
 INDEX(
  SCHEDULE!$A$1:$A$76,
   SMALL(
   IF(
    (ISNUMBER(SEARCH("A",SCHEDULE!N$1:N$76)))*
   ( (SCHEDULE!M$1:M$76=$B20)+(SCHEDULE!M$1:M$76=$C20)+(SCHEDULE!M$1:M$76=$D20)+(SCHEDULE!M$1:M$76=$E20)+(SCHEDULE!M$1:M$76=$F20)+ (SCHEDULE!O$1:O$76=$G20) ),
     ROW(SCHEDULE!AV$1:AV$76),
     ""
    ),COUNTIF($H$18:$H20,$H20)
  )
 ),"
Missing")</f>
        <v>Kenton Bailey</v>
      </c>
      <c r="R20" s="210" t="str">
        <f t="array" ref="R20">IFERROR(
 INDEX(
  SCHEDULE!$A$1:$A$76,
   SMALL(
   IF(
    (ISNUMBER(SEARCH("A",SCHEDULE!O$1:O$76)))*
   ( (SCHEDULE!N$1:N$76=$B20)+(SCHEDULE!N$1:N$76=$C20)+(SCHEDULE!N$1:N$76=$D20)+(SCHEDULE!N$1:N$76=$E20)+(SCHEDULE!N$1:N$76=$F20)+ (SCHEDULE!P$1:P$76=$G20) ),
     ROW(SCHEDULE!AW$1:AW$76),
     ""
    ),COUNTIF($H$18:$H20,$H20)
  )
 ),"
Missing")</f>
        <v xml:space="preserve">
Missing</v>
      </c>
      <c r="S20" s="210" t="str">
        <f t="array" ref="S20">IFERROR(
 INDEX(
  SCHEDULE!$A$1:$A$76,
   SMALL(
   IF(
    (ISNUMBER(SEARCH("A",SCHEDULE!P$1:P$76)))*
   ( (SCHEDULE!O$1:O$76=$B20)+(SCHEDULE!O$1:O$76=$C20)+(SCHEDULE!O$1:O$76=$D20)+(SCHEDULE!O$1:O$76=$E20)+(SCHEDULE!O$1:O$76=$F20)+ (SCHEDULE!Q$1:Q$76=$G20) ),
     ROW(SCHEDULE!AX$1:AX$76),
     ""
    ),COUNTIF($H$18:$H20,$H20)
  )
 ),"
Missing")</f>
        <v xml:space="preserve">
Missing</v>
      </c>
      <c r="T20" s="210" t="str">
        <f t="array" ref="T20">IFERROR(
 INDEX(
  SCHEDULE!$A$1:$A$76,
   SMALL(
   IF(
    (ISNUMBER(SEARCH("A",SCHEDULE!Q$1:Q$76)))*
   ( (SCHEDULE!P$1:P$76=$B20)+(SCHEDULE!P$1:P$76=$C20)+(SCHEDULE!P$1:P$76=$D20)+(SCHEDULE!P$1:P$76=$E20)+(SCHEDULE!P$1:P$76=$F20)+ (SCHEDULE!R$1:R$76=$G20) ),
     ROW(SCHEDULE!AY$1:AY$76),
     ""
    ),COUNTIF($H$18:$H20,$H20)
  )
 ),"
Missing")</f>
        <v>Kenton Bailey</v>
      </c>
      <c r="U20" s="210" t="str">
        <f t="array" ref="U20">IFERROR(
 INDEX(
  SCHEDULE!$A$1:$A$76,
   SMALL(
   IF(
    (ISNUMBER(SEARCH("A",SCHEDULE!R$1:R$76)))*
   ( (SCHEDULE!Q$1:Q$76=$B20)+(SCHEDULE!Q$1:Q$76=$C20)+(SCHEDULE!Q$1:Q$76=$D20)+(SCHEDULE!Q$1:Q$76=$E20)+(SCHEDULE!Q$1:Q$76=$F20)+ (SCHEDULE!S$1:S$76=$G20) ),
     ROW(SCHEDULE!AZ$1:AZ$76),
     ""
    ),COUNTIF($H$18:$H20,$H20)
  )
 ),"
Missing")</f>
        <v xml:space="preserve">
Missing</v>
      </c>
      <c r="V20" s="210" t="str">
        <f t="array" ref="V20">IFERROR(
 INDEX(
  SCHEDULE!$A$1:$A$76,
   SMALL(
   IF(
    (ISNUMBER(SEARCH("A",SCHEDULE!S$1:S$76)))*
   ( (SCHEDULE!R$1:R$76=$B20)+(SCHEDULE!R$1:R$76=$C20)+(SCHEDULE!R$1:R$76=$D20)+(SCHEDULE!R$1:R$76=$E20)+(SCHEDULE!R$1:R$76=$F20)+ (SCHEDULE!T$1:T$76=$G20) ),
     ROW(SCHEDULE!BA$1:BA$76),
     ""
    ),COUNTIF($H$18:$H20,$H20)
  )
 ),"
Missing")</f>
        <v xml:space="preserve">
Missing</v>
      </c>
      <c r="W20" s="210" t="str">
        <f t="array" ref="W20">IFERROR(
 INDEX(
  SCHEDULE!$A$1:$A$76,
   SMALL(
   IF(
    (ISNUMBER(SEARCH("A",SCHEDULE!T$1:T$76)))*
   ( (SCHEDULE!S$1:S$76=$B20)+(SCHEDULE!S$1:S$76=$C20)+(SCHEDULE!S$1:S$76=$D20)+(SCHEDULE!S$1:S$76=$E20)+(SCHEDULE!S$1:S$76=$F20)+ (SCHEDULE!U$1:U$76=$G20) ),
     ROW(SCHEDULE!BB$1:BB$76),
     ""
    ),COUNTIF($H$18:$H20,$H20)
  )
 ),"
Missing")</f>
        <v>Kenton Bailey</v>
      </c>
      <c r="X20" s="210" t="str">
        <f t="array" ref="X20">IFERROR(
 INDEX(
  SCHEDULE!$A$1:$A$76,
   SMALL(
   IF(
    (ISNUMBER(SEARCH("A",SCHEDULE!U$1:U$76)))*
   ( (SCHEDULE!T$1:T$76=$B20)+(SCHEDULE!T$1:T$76=$C20)+(SCHEDULE!T$1:T$76=$D20)+(SCHEDULE!T$1:T$76=$E20)+(SCHEDULE!T$1:T$76=$F20)+ (SCHEDULE!V$1:V$76=$G20) ),
     ROW(SCHEDULE!BC$1:BC$76),
     ""
    ),COUNTIF($H$18:$H20,$H20)
  )
 ),"
Missing")</f>
        <v xml:space="preserve">
Missing</v>
      </c>
      <c r="Y20" s="210" t="str">
        <f t="array" ref="Y20">IFERROR(
 INDEX(
  SCHEDULE!$A$1:$A$76,
   SMALL(
   IF(
    (ISNUMBER(SEARCH("A",SCHEDULE!V$1:V$76)))*
   ( (SCHEDULE!U$1:U$76=$B20)+(SCHEDULE!U$1:U$76=$C20)+(SCHEDULE!U$1:U$76=$D20)+(SCHEDULE!U$1:U$76=$E20)+(SCHEDULE!U$1:U$76=$F20)+ (SCHEDULE!W$1:W$76=$G20) ),
     ROW(SCHEDULE!BD$1:BD$76),
     ""
    ),COUNTIF($H$18:$H20,$H20)
  )
 ),"
Missing")</f>
        <v xml:space="preserve">
Missing</v>
      </c>
      <c r="Z20" s="210" t="str">
        <f t="array" ref="Z20">IFERROR(
 INDEX(
  SCHEDULE!$A$1:$A$76,
   SMALL(
   IF(
    (ISNUMBER(SEARCH("A",SCHEDULE!W$1:W$76)))*
   ( (SCHEDULE!V$1:V$76=$B20)+(SCHEDULE!V$1:V$76=$C20)+(SCHEDULE!V$1:V$76=$D20)+(SCHEDULE!V$1:V$76=$E20)+(SCHEDULE!V$1:V$76=$F20)+ (SCHEDULE!X$1:X$76=$G20) ),
     ROW(SCHEDULE!BE$1:BE$76),
     ""
    ),COUNTIF($H$18:$H20,$H20)
  )
 ),"
Missing")</f>
        <v>Kenton Bailey</v>
      </c>
      <c r="AA20" s="210" t="str">
        <f t="array" ref="AA20">IFERROR(
 INDEX(
  SCHEDULE!$A$1:$A$76,
   SMALL(
   IF(
    (ISNUMBER(SEARCH("A",SCHEDULE!X$1:X$76)))*
   ( (SCHEDULE!W$1:W$76=$B20)+(SCHEDULE!W$1:W$76=$C20)+(SCHEDULE!W$1:W$76=$D20)+(SCHEDULE!W$1:W$76=$E20)+(SCHEDULE!W$1:W$76=$F20)+ (SCHEDULE!Y$1:Y$76=$G20) ),
     ROW(SCHEDULE!BF$1:BF$76),
     ""
    ),COUNTIF($H$18:$H20,$H20)
  )
 ),"
Missing")</f>
        <v xml:space="preserve">
Missing</v>
      </c>
      <c r="AB20" s="210" t="str">
        <f t="array" ref="AB20">IFERROR(
 INDEX(
  SCHEDULE!$A$1:$A$76,
   SMALL(
   IF(
    (ISNUMBER(SEARCH("A",SCHEDULE!Y$1:Y$76)))*
   ( (SCHEDULE!X$1:X$76=$B20)+(SCHEDULE!X$1:X$76=$C20)+(SCHEDULE!X$1:X$76=$D20)+(SCHEDULE!X$1:X$76=$E20)+(SCHEDULE!X$1:X$76=$F20)+ (SCHEDULE!Z$1:Z$76=$G20) ),
     ROW(SCHEDULE!BG$1:BG$76),
     ""
    ),COUNTIF($H$18:$H20,$H20)
  )
 ),"
Missing")</f>
        <v xml:space="preserve">
Missing</v>
      </c>
      <c r="AC20" s="210" t="str">
        <f t="array" ref="AC20">IFERROR(
 INDEX(
  SCHEDULE!$A$1:$A$76,
   SMALL(
   IF(
    (ISNUMBER(SEARCH("A",SCHEDULE!Z$1:Z$76)))*
   ( (SCHEDULE!Y$1:Y$76=$B20)+(SCHEDULE!Y$1:Y$76=$C20)+(SCHEDULE!Y$1:Y$76=$D20)+(SCHEDULE!Y$1:Y$76=$E20)+(SCHEDULE!Y$1:Y$76=$F20)+ (SCHEDULE!AA$1:AA$76=$G20) ),
     ROW(SCHEDULE!BH$1:BH$76),
     ""
    ),COUNTIF($H$18:$H20,$H20)
  )
 ),"
Missing")</f>
        <v>Kenton Bailey</v>
      </c>
      <c r="AD20" s="210" t="str">
        <f t="array" ref="AD20">IFERROR(
 INDEX(
  SCHEDULE!$A$1:$A$76,
   SMALL(
   IF(
    (ISNUMBER(SEARCH("A",SCHEDULE!AA$1:AA$76)))*
   ( (SCHEDULE!Z$1:Z$76=$B20)+(SCHEDULE!Z$1:Z$76=$C20)+(SCHEDULE!Z$1:Z$76=$D20)+(SCHEDULE!Z$1:Z$76=$E20)+(SCHEDULE!Z$1:Z$76=$F20)+ (SCHEDULE!AB$1:AB$76=$G20) ),
     ROW(SCHEDULE!BI$1:BI$76),
     ""
    ),COUNTIF($H$18:$H20,$H20)
  )
 ),"
Missing")</f>
        <v xml:space="preserve">
Missing</v>
      </c>
      <c r="AE20" s="210" t="str">
        <f t="array" ref="AE20">IFERROR(
 INDEX(
  SCHEDULE!$A$1:$A$76,
   SMALL(
   IF(
    (ISNUMBER(SEARCH("A",SCHEDULE!AB$1:AB$76)))*
   ( (SCHEDULE!AA$1:AA$76=$B20)+(SCHEDULE!AA$1:AA$76=$C20)+(SCHEDULE!AA$1:AA$76=$D20)+(SCHEDULE!AA$1:AA$76=$E20)+(SCHEDULE!AA$1:AA$76=$F20)+ (SCHEDULE!AC$1:AC$76=$G20) ),
     ROW(SCHEDULE!BJ$1:BJ$76),
     ""
    ),COUNTIF($H$18:$H20,$H20)
  )
 ),"
Missing")</f>
        <v xml:space="preserve">
Missing</v>
      </c>
      <c r="AF20" s="210" t="str">
        <f t="array" ref="AF20">IFERROR(
 INDEX(
  SCHEDULE!$A$1:$A$76,
   SMALL(
   IF(
    (ISNUMBER(SEARCH("A",SCHEDULE!AC$1:AC$76)))*
   ( (SCHEDULE!AB$1:AB$76=$B20)+(SCHEDULE!AB$1:AB$76=$C20)+(SCHEDULE!AB$1:AB$76=$D20)+(SCHEDULE!AB$1:AB$76=$E20)+(SCHEDULE!AB$1:AB$76=$F20)+ (SCHEDULE!AD$1:AD$76=$G20) ),
     ROW(SCHEDULE!BK$1:BK$76),
     ""
    ),COUNTIF($H$18:$H20,$H20)
  )
 ),"
Missing")</f>
        <v xml:space="preserve">
Missing</v>
      </c>
      <c r="AG20" s="210" t="str">
        <f t="array" ref="AG20">IFERROR(
 INDEX(
  SCHEDULE!$A$1:$A$76,
   SMALL(
   IF(
    (ISNUMBER(SEARCH("A",SCHEDULE!AD$1:AD$76)))*
   ( (SCHEDULE!AC$1:AC$76=$B20)+(SCHEDULE!AC$1:AC$76=$C20)+(SCHEDULE!AC$1:AC$76=$D20)+(SCHEDULE!AC$1:AC$76=$E20)+(SCHEDULE!AC$1:AC$76=$F20)+ (SCHEDULE!AE$1:AE$76=$G20) ),
     ROW(SCHEDULE!BL$1:BL$76),
     ""
    ),COUNTIF($H$18:$H20,$H20)
  )
 ),"
Missing")</f>
        <v xml:space="preserve">
Missing</v>
      </c>
      <c r="AH20" s="210" t="str">
        <f t="array" ref="AH20">IFERROR(
 INDEX(
  SCHEDULE!$A$1:$A$76,
   SMALL(
   IF(
    (ISNUMBER(SEARCH("A",SCHEDULE!AE$1:AE$76)))*
   ( (SCHEDULE!AD$1:AD$76=$B20)+(SCHEDULE!AD$1:AD$76=$C20)+(SCHEDULE!AD$1:AD$76=$D20)+(SCHEDULE!AD$1:AD$76=$E20)+(SCHEDULE!AD$1:AD$76=$F20)+ (SCHEDULE!AF$1:AF$76=$G20) ),
     ROW(SCHEDULE!BM$1:BM$76),
     ""
    ),COUNTIF($H$18:$H20,$H20)
  )
 ),"
Missing")</f>
        <v>L3</v>
      </c>
      <c r="AI20" s="210" t="str">
        <f t="array" ref="AI20">IFERROR(
 INDEX(
  SCHEDULE!$A$1:$A$76,
   SMALL(
   IF(
    (ISNUMBER(SEARCH("A",SCHEDULE!AF$1:AF$76)))*
   ( (SCHEDULE!AE$1:AE$76=$B20)+(SCHEDULE!AE$1:AE$76=$C20)+(SCHEDULE!AE$1:AE$76=$D20)+(SCHEDULE!AE$1:AE$76=$E20)+(SCHEDULE!AE$1:AE$76=$F20)+ (SCHEDULE!AG$1:AG$76=$G20) ),
     ROW(SCHEDULE!BN$1:BN$76),
     ""
    ),COUNTIF($H$18:$H20,$H20)
  )
 ),"
Missing")</f>
        <v xml:space="preserve">
Missing</v>
      </c>
      <c r="AJ20" s="210" t="str">
        <f t="array" ref="AJ20">IFERROR(
 INDEX(
  SCHEDULE!$A$1:$A$76,
   SMALL(
   IF(
    (ISNUMBER(SEARCH("A",SCHEDULE!AG$1:AG$76)))*
   ( (SCHEDULE!AF$1:AF$76=$B20)+(SCHEDULE!AF$1:AF$76=$C20)+(SCHEDULE!AF$1:AF$76=$D20)+(SCHEDULE!AF$1:AF$76=$E20)+(SCHEDULE!AF$1:AF$76=$F20)+ (SCHEDULE!AH$1:AH$76=$G20) ),
     ROW(SCHEDULE!BO$1:BO$76),
     ""
    ),COUNTIF($H$18:$H20,$H20)
  )
 ),"
Missing")</f>
        <v xml:space="preserve">
Missing</v>
      </c>
      <c r="AK20" s="210" t="str">
        <f t="array" ref="AK20">IFERROR(
 INDEX(
  SCHEDULE!$A$1:$A$76,
   SMALL(
   IF(
    (ISNUMBER(SEARCH("A",SCHEDULE!AH$1:AH$76)))*
   ( (SCHEDULE!AG$1:AG$76=$B20)+(SCHEDULE!AG$1:AG$76=$C20)+(SCHEDULE!AG$1:AG$76=$D20)+(SCHEDULE!AG$1:AG$76=$E20)+(SCHEDULE!AG$1:AG$76=$F20)+ (SCHEDULE!AI$1:AI$76=$G20) ),
     ROW(SCHEDULE!BP$1:BP$76),
     ""
    ),COUNTIF($H$18:$H20,$H20)
  )
 ),"
Missing")</f>
        <v>Blaze Chabot</v>
      </c>
      <c r="AL20" s="210" t="str">
        <f t="array" ref="AL20">IFERROR(
 INDEX(
  SCHEDULE!$A$1:$A$76,
   SMALL(
   IF(
    (ISNUMBER(SEARCH("A",SCHEDULE!AI$1:AI$76)))*
   ( (SCHEDULE!AH$1:AH$76=$B20)+(SCHEDULE!AH$1:AH$76=$C20)+(SCHEDULE!AH$1:AH$76=$D20)+(SCHEDULE!AH$1:AH$76=$E20)+(SCHEDULE!AH$1:AH$76=$F20)+ (SCHEDULE!AJ$1:AJ$76=$G20) ),
     ROW(SCHEDULE!BQ$1:BQ$76),
     ""
    ),COUNTIF($H$18:$H20,$H20)
  )
 ),"
Missing")</f>
        <v xml:space="preserve">
Missing</v>
      </c>
      <c r="AM20" s="210" t="str">
        <f t="array" ref="AM20">IFERROR(
 INDEX(
  SCHEDULE!$A$1:$A$76,
   SMALL(
   IF(
    (ISNUMBER(SEARCH("A",SCHEDULE!AJ$1:AJ$76)))*
   ( (SCHEDULE!AI$1:AI$76=$B20)+(SCHEDULE!AI$1:AI$76=$C20)+(SCHEDULE!AI$1:AI$76=$D20)+(SCHEDULE!AI$1:AI$76=$E20)+(SCHEDULE!AI$1:AI$76=$F20)+ (SCHEDULE!AK$1:AK$76=$G20) ),
     ROW(SCHEDULE!BR$1:BR$76),
     ""
    ),COUNTIF($H$18:$H20,$H20)
  )
 ),"
Missing")</f>
        <v>TJ Jacobs</v>
      </c>
      <c r="AN20" s="210" t="str">
        <f t="array" ref="AN20">IFERROR(
 INDEX(
  SCHEDULE!$A$1:$A$76,
   SMALL(
   IF(
    (ISNUMBER(SEARCH("A",SCHEDULE!AK$1:AK$76)))*
   ( (SCHEDULE!AJ$1:AJ$76=$B20)+(SCHEDULE!AJ$1:AJ$76=$C20)+(SCHEDULE!AJ$1:AJ$76=$D20)+(SCHEDULE!AJ$1:AJ$76=$E20)+(SCHEDULE!AJ$1:AJ$76=$F20)+ (SCHEDULE!AL$1:AL$76=$G20) ),
     ROW(SCHEDULE!BS$1:BS$76),
     ""
    ),COUNTIF($H$18:$H20,$H20)
  )
 ),"
Missing")</f>
        <v>Dutch Neerings</v>
      </c>
      <c r="AO20" s="210" t="str">
        <f t="array" ref="AO20">IFERROR(
 INDEX(
  SCHEDULE!$A$1:$A$76,
   SMALL(
   IF(
    (ISNUMBER(SEARCH("A",SCHEDULE!AL$1:AL$76)))*
   ( (SCHEDULE!AK$1:AK$76=$B20)+(SCHEDULE!AK$1:AK$76=$C20)+(SCHEDULE!AK$1:AK$76=$D20)+(SCHEDULE!AK$1:AK$76=$E20)+(SCHEDULE!AK$1:AK$76=$F20)+ (SCHEDULE!AM$1:AM$76=$G20) ),
     ROW(SCHEDULE!BT$1:BT$76),
     ""
    ),COUNTIF($H$18:$H20,$H20)
  )
 ),"
Missing")</f>
        <v xml:space="preserve">
Missing</v>
      </c>
      <c r="AP20" s="210" t="str">
        <f t="array" ref="AP20">IFERROR(
 INDEX(
  SCHEDULE!$A$1:$A$76,
   SMALL(
   IF(
    (ISNUMBER(SEARCH("A",SCHEDULE!AM$1:AM$76)))*
   ( (SCHEDULE!AL$1:AL$76=$B20)+(SCHEDULE!AL$1:AL$76=$C20)+(SCHEDULE!AL$1:AL$76=$D20)+(SCHEDULE!AL$1:AL$76=$E20)+(SCHEDULE!AL$1:AL$76=$F20)+ (SCHEDULE!AN$1:AN$76=$G20) ),
     ROW(SCHEDULE!BU$1:BU$76),
     ""
    ),COUNTIF($H$18:$H20,$H20)
  )
 ),"
Missing")</f>
        <v>TJ Jacobs</v>
      </c>
      <c r="AQ20" s="210" t="str">
        <f t="array" ref="AQ20">IFERROR(
 INDEX(
  SCHEDULE!$A$1:$A$76,
   SMALL(
   IF(
    (ISNUMBER(SEARCH("A",SCHEDULE!AN$1:AN$76)))*
   ( (SCHEDULE!AM$1:AM$76=$B20)+(SCHEDULE!AM$1:AM$76=$C20)+(SCHEDULE!AM$1:AM$76=$D20)+(SCHEDULE!AM$1:AM$76=$E20)+(SCHEDULE!AM$1:AM$76=$F20)+ (SCHEDULE!AO$1:AO$76=$G20) ),
     ROW(SCHEDULE!BV$1:BV$76),
     ""
    ),COUNTIF($H$18:$H20,$H20)
  )
 ),"
Missing")</f>
        <v>Dutch Neerings</v>
      </c>
      <c r="AR20" s="210" t="str">
        <f t="array" ref="AR20">IFERROR(
 INDEX(
  SCHEDULE!$A$1:$A$76,
   SMALL(
   IF(
    (ISNUMBER(SEARCH("A",SCHEDULE!AO$1:AO$76)))*
   ( (SCHEDULE!AN$1:AN$76=$B20)+(SCHEDULE!AN$1:AN$76=$C20)+(SCHEDULE!AN$1:AN$76=$D20)+(SCHEDULE!AN$1:AN$76=$E20)+(SCHEDULE!AN$1:AN$76=$F20)+ (SCHEDULE!AP$1:AP$76=$G20) ),
     ROW(SCHEDULE!BW$1:BW$76),
     ""
    ),COUNTIF($H$18:$H20,$H20)
  )
 ),"
Missing")</f>
        <v xml:space="preserve">
Missing</v>
      </c>
      <c r="AS20" s="210" t="str">
        <f t="array" ref="AS20">IFERROR(
 INDEX(
  SCHEDULE!$A$1:$A$76,
   SMALL(
   IF(
    (ISNUMBER(SEARCH("A",SCHEDULE!AP$1:AP$76)))*
   ( (SCHEDULE!AO$1:AO$76=$B20)+(SCHEDULE!AO$1:AO$76=$C20)+(SCHEDULE!AO$1:AO$76=$D20)+(SCHEDULE!AO$1:AO$76=$E20)+(SCHEDULE!AO$1:AO$76=$F20)+ (SCHEDULE!AQ$1:AQ$76=$G20) ),
     ROW(SCHEDULE!BX$1:BX$76),
     ""
    ),COUNTIF($H$18:$H20,$H20)
  )
 ),"
Missing")</f>
        <v>TJ Jacobs</v>
      </c>
      <c r="AT20" s="210" t="str">
        <f t="array" ref="AT20">IFERROR(
 INDEX(
  SCHEDULE!$A$1:$A$76,
   SMALL(
   IF(
    (ISNUMBER(SEARCH("A",SCHEDULE!AQ$1:AQ$76)))*
   ( (SCHEDULE!AP$1:AP$76=$B20)+(SCHEDULE!AP$1:AP$76=$C20)+(SCHEDULE!AP$1:AP$76=$D20)+(SCHEDULE!AP$1:AP$76=$E20)+(SCHEDULE!AP$1:AP$76=$F20)+ (SCHEDULE!AR$1:AR$76=$G20) ),
     ROW(SCHEDULE!BY$1:BY$76),
     ""
    ),COUNTIF($H$18:$H20,$H20)
  )
 ),"
Missing")</f>
        <v>Dutch Neerings</v>
      </c>
      <c r="AU20" s="210" t="str">
        <f t="array" ref="AU20">IFERROR(
 INDEX(
  SCHEDULE!$A$1:$A$76,
   SMALL(
   IF(
    (ISNUMBER(SEARCH("A",SCHEDULE!AR$1:AR$76)))*
   ( (SCHEDULE!AQ$1:AQ$76=$B20)+(SCHEDULE!AQ$1:AQ$76=$C20)+(SCHEDULE!AQ$1:AQ$76=$D20)+(SCHEDULE!AQ$1:AQ$76=$E20)+(SCHEDULE!AQ$1:AQ$76=$F20)+ (SCHEDULE!AS$1:AS$76=$G20) ),
     ROW(SCHEDULE!BZ$1:BZ$76),
     ""
    ),COUNTIF($H$18:$H20,$H20)
  )
 ),"
Missing")</f>
        <v xml:space="preserve">
Missing</v>
      </c>
      <c r="AV20" s="210" t="str">
        <f t="array" ref="AV20">IFERROR(
 INDEX(
  SCHEDULE!$A$1:$A$76,
   SMALL(
   IF(
    (ISNUMBER(SEARCH("A",SCHEDULE!AS$1:AS$76)))*
   ( (SCHEDULE!AR$1:AR$76=$B20)+(SCHEDULE!AR$1:AR$76=$C20)+(SCHEDULE!AR$1:AR$76=$D20)+(SCHEDULE!AR$1:AR$76=$E20)+(SCHEDULE!AR$1:AR$76=$F20)+ (SCHEDULE!AT$1:AT$76=$G20) ),
     ROW(SCHEDULE!CA$1:CA$76),
     ""
    ),COUNTIF($H$18:$H20,$H20)
  )
 ),"
Missing")</f>
        <v xml:space="preserve">
Missing</v>
      </c>
      <c r="AW20" s="210" t="str">
        <f t="array" ref="AW20">IFERROR(
 INDEX(
  SCHEDULE!$A$1:$A$76,
   SMALL(
   IF(
    (ISNUMBER(SEARCH("A",SCHEDULE!AT$1:AT$76)))*
   ( (SCHEDULE!AS$1:AS$76=$B20)+(SCHEDULE!AS$1:AS$76=$C20)+(SCHEDULE!AS$1:AS$76=$D20)+(SCHEDULE!AS$1:AS$76=$E20)+(SCHEDULE!AS$1:AS$76=$F20)+ (SCHEDULE!AU$1:AU$76=$G20) ),
     ROW(SCHEDULE!CB$1:CB$76),
     ""
    ),COUNTIF($H$18:$H20,$H20)
  )
 ),"
Missing")</f>
        <v>Dutch Neerings</v>
      </c>
      <c r="AX20" s="210" t="str">
        <f t="array" ref="AX20">IFERROR(
 INDEX(
  SCHEDULE!$A$1:$A$76,
   SMALL(
   IF(
    (ISNUMBER(SEARCH("A",SCHEDULE!AU$1:AU$76)))*
   ( (SCHEDULE!AT$1:AT$76=$B20)+(SCHEDULE!AT$1:AT$76=$C20)+(SCHEDULE!AT$1:AT$76=$D20)+(SCHEDULE!AT$1:AT$76=$E20)+(SCHEDULE!AT$1:AT$76=$F20)+ (SCHEDULE!AV$1:AV$76=$G20) ),
     ROW(SCHEDULE!CC$1:CC$76),
     ""
    ),COUNTIF($H$18:$H20,$H20)
  )
 ),"
Missing")</f>
        <v xml:space="preserve">
Missing</v>
      </c>
      <c r="AY20" s="210" t="str">
        <f t="array" ref="AY20">IFERROR(
 INDEX(
  SCHEDULE!$A$1:$A$76,
   SMALL(
   IF(
    (ISNUMBER(SEARCH("A",SCHEDULE!AV$1:AV$76)))*
   ( (SCHEDULE!AU$1:AU$76=$B20)+(SCHEDULE!AU$1:AU$76=$C20)+(SCHEDULE!AU$1:AU$76=$D20)+(SCHEDULE!AU$1:AU$76=$E20)+(SCHEDULE!AU$1:AU$76=$F20)+ (SCHEDULE!AW$1:AW$76=$G20) ),
     ROW(SCHEDULE!CD$1:CD$76),
     ""
    ),COUNTIF($H$18:$H20,$H20)
  )
 ),"
Missing")</f>
        <v xml:space="preserve">
Missing</v>
      </c>
      <c r="AZ20" s="210" t="str">
        <f t="array" ref="AZ20">IFERROR(
 INDEX(
  SCHEDULE!$A$1:$A$76,
   SMALL(
   IF(
    (ISNUMBER(SEARCH("A",SCHEDULE!AW$1:AW$76)))*
   ( (SCHEDULE!AV$1:AV$76=$B20)+(SCHEDULE!AV$1:AV$76=$C20)+(SCHEDULE!AV$1:AV$76=$D20)+(SCHEDULE!AV$1:AV$76=$E20)+(SCHEDULE!AV$1:AV$76=$F20)+ (SCHEDULE!AX$1:AX$76=$G20) ),
     ROW(SCHEDULE!CE$1:CE$76),
     ""
    ),COUNTIF($H$18:$H20,$H20)
  )
 ),"
Missing")</f>
        <v xml:space="preserve">
Missing</v>
      </c>
      <c r="BA20" s="210" t="str">
        <f t="array" ref="BA20">IFERROR(
 INDEX(
  SCHEDULE!$A$1:$A$76,
   SMALL(
   IF(
    (ISNUMBER(SEARCH("A",SCHEDULE!AX$1:AX$76)))*
   ( (SCHEDULE!AW$1:AW$76=$B20)+(SCHEDULE!AW$1:AW$76=$C20)+(SCHEDULE!AW$1:AW$76=$D20)+(SCHEDULE!AW$1:AW$76=$E20)+(SCHEDULE!AW$1:AW$76=$F20)+ (SCHEDULE!AY$1:AY$76=$G20) ),
     ROW(SCHEDULE!CF$1:CF$76),
     ""
    ),COUNTIF($H$18:$H20,$H20)
  )
 ),"
Missing")</f>
        <v xml:space="preserve">
Missing</v>
      </c>
      <c r="BB20" s="210" t="str">
        <f t="array" ref="BB20">IFERROR(
 INDEX(
  SCHEDULE!$A$1:$A$76,
   SMALL(
   IF(
    (ISNUMBER(SEARCH("A",SCHEDULE!AY$1:AY$76)))*
   ( (SCHEDULE!AX$1:AX$76=$B20)+(SCHEDULE!AX$1:AX$76=$C20)+(SCHEDULE!AX$1:AX$76=$D20)+(SCHEDULE!AX$1:AX$76=$E20)+(SCHEDULE!AX$1:AX$76=$F20)+ (SCHEDULE!AZ$1:AZ$76=$G20) ),
     ROW(SCHEDULE!CG$1:CG$76),
     ""
    ),COUNTIF($H$18:$H20,$H20)
  )
 ),"
Missing")</f>
        <v xml:space="preserve">
Missing</v>
      </c>
      <c r="BC20" s="210" t="str">
        <f t="array" ref="BC20">IFERROR(
 INDEX(
  SCHEDULE!$A$1:$A$76,
   SMALL(
   IF(
    (ISNUMBER(SEARCH("A",SCHEDULE!AZ$1:AZ$76)))*
   ( (SCHEDULE!AY$1:AY$76=$B20)+(SCHEDULE!AY$1:AY$76=$C20)+(SCHEDULE!AY$1:AY$76=$D20)+(SCHEDULE!AY$1:AY$76=$E20)+(SCHEDULE!AY$1:AY$76=$F20)+ (SCHEDULE!BA$1:BA$76=$G20) ),
     ROW(SCHEDULE!CH$1:CH$76),
     ""
    ),COUNTIF($H$18:$H20,$H20)
  )
 ),"
Missing")</f>
        <v xml:space="preserve">
Missing</v>
      </c>
      <c r="BD20" s="210" t="str">
        <f t="array" ref="BD20">IFERROR(
 INDEX(
  SCHEDULE!$A$1:$A$76,
   SMALL(
   IF(
    (ISNUMBER(SEARCH("A",SCHEDULE!BA$1:BA$76)))*
   ( (SCHEDULE!AZ$1:AZ$76=$B20)+(SCHEDULE!AZ$1:AZ$76=$C20)+(SCHEDULE!AZ$1:AZ$76=$D20)+(SCHEDULE!AZ$1:AZ$76=$E20)+(SCHEDULE!AZ$1:AZ$76=$F20)+ (SCHEDULE!BB$1:BB$76=$G20) ),
     ROW(SCHEDULE!CI$1:CI$76),
     ""
    ),COUNTIF($H$18:$H20,$H20)
  )
 ),"
Missing")</f>
        <v>L3</v>
      </c>
      <c r="BE20" s="210" t="str">
        <f t="array" ref="BE20">IFERROR(
 INDEX(
  SCHEDULE!$A$1:$A$76,
   SMALL(
   IF(
    (ISNUMBER(SEARCH("A",SCHEDULE!BB$1:BB$76)))*
   ( (SCHEDULE!BA$1:BA$76=$B20)+(SCHEDULE!BA$1:BA$76=$C20)+(SCHEDULE!BA$1:BA$76=$D20)+(SCHEDULE!BA$1:BA$76=$E20)+(SCHEDULE!BA$1:BA$76=$F20)+ (SCHEDULE!BC$1:BC$76=$G20) ),
     ROW(SCHEDULE!CJ$1:CJ$76),
     ""
    ),COUNTIF($H$18:$H20,$H20)
  )
 ),"
Missing")</f>
        <v xml:space="preserve">
Missing</v>
      </c>
    </row>
    <row r="21" spans="2:57" hidden="1" x14ac:dyDescent="0.2">
      <c r="B21" s="203">
        <v>0.25</v>
      </c>
      <c r="C21" s="203" t="s">
        <v>105</v>
      </c>
      <c r="D21" s="203"/>
      <c r="E21" s="203"/>
      <c r="F21" s="203"/>
      <c r="G21" s="203" t="s">
        <v>89</v>
      </c>
      <c r="H21" s="205" t="s">
        <v>102</v>
      </c>
      <c r="I21" s="210" t="str">
        <f t="array" ref="I21">IFERROR(
 INDEX(
  SCHEDULE!$A$1:$A$76,
   SMALL(
   IF(
    (ISNUMBER(SEARCH("A",SCHEDULE!F$1:F$76)))*
   ( (SCHEDULE!E$1:E$76=$B21)+(SCHEDULE!E$1:E$76=$C21)+(SCHEDULE!E$1:E$76=$D21)+(SCHEDULE!E$1:E$76=$E21)+(SCHEDULE!E$1:E$76=$F21)+ (SCHEDULE!G$1:G$76=$G21) ),
     ROW(SCHEDULE!AN$1:AN$76),
     ""
    ),COUNTIF($H$18:$H21,$H21)
  )
 ),"
Missing")</f>
        <v xml:space="preserve">
Missing</v>
      </c>
      <c r="J21" s="210" t="str">
        <f t="array" ref="J21">IFERROR(
 INDEX(
  SCHEDULE!$A$1:$A$76,
   SMALL(
   IF(
    (ISNUMBER(SEARCH("A",SCHEDULE!G$1:G$76)))*
   ( (SCHEDULE!F$1:F$76=$B21)+(SCHEDULE!F$1:F$76=$C21)+(SCHEDULE!F$1:F$76=$D21)+(SCHEDULE!F$1:F$76=$E21)+(SCHEDULE!F$1:F$76=$F21)+ (SCHEDULE!H$1:H$76=$G21) ),
     ROW(SCHEDULE!AO$1:AO$76),
     ""
    ),COUNTIF($H$18:$H21,$H21)
  )
 ),"
Missing")</f>
        <v xml:space="preserve">
Missing</v>
      </c>
      <c r="K21" s="210" t="str">
        <f t="array" ref="K21">IFERROR(
 INDEX(
  SCHEDULE!$A$1:$A$76,
   SMALL(
   IF(
    (ISNUMBER(SEARCH("A",SCHEDULE!H$1:H$76)))*
   ( (SCHEDULE!G$1:G$76=$B21)+(SCHEDULE!G$1:G$76=$C21)+(SCHEDULE!G$1:G$76=$D21)+(SCHEDULE!G$1:G$76=$E21)+(SCHEDULE!G$1:G$76=$F21)+ (SCHEDULE!I$1:I$76=$G21) ),
     ROW(SCHEDULE!AP$1:AP$76),
     ""
    ),COUNTIF($H$18:$H21,$H21)
  )
 ),"
Missing")</f>
        <v xml:space="preserve">
Missing</v>
      </c>
      <c r="L21" s="210" t="str">
        <f t="array" ref="L21">IFERROR(
 INDEX(
  SCHEDULE!$A$1:$A$76,
   SMALL(
   IF(
    (ISNUMBER(SEARCH("A",SCHEDULE!I$1:I$76)))*
   ( (SCHEDULE!H$1:H$76=$B21)+(SCHEDULE!H$1:H$76=$C21)+(SCHEDULE!H$1:H$76=$D21)+(SCHEDULE!H$1:H$76=$E21)+(SCHEDULE!H$1:H$76=$F21)+ (SCHEDULE!J$1:J$76=$G21) ),
     ROW(SCHEDULE!AQ$1:AQ$76),
     ""
    ),COUNTIF($H$18:$H21,$H21)
  )
 ),"
Missing")</f>
        <v xml:space="preserve">
Missing</v>
      </c>
      <c r="M21" s="210" t="str">
        <f t="array" ref="M21">IFERROR(
 INDEX(
  SCHEDULE!$A$1:$A$76,
   SMALL(
   IF(
    (ISNUMBER(SEARCH("A",SCHEDULE!J$1:J$76)))*
   ( (SCHEDULE!I$1:I$76=$B21)+(SCHEDULE!I$1:I$76=$C21)+(SCHEDULE!I$1:I$76=$D21)+(SCHEDULE!I$1:I$76=$E21)+(SCHEDULE!I$1:I$76=$F21)+ (SCHEDULE!K$1:K$76=$G21) ),
     ROW(SCHEDULE!AR$1:AR$76),
     ""
    ),COUNTIF($H$18:$H21,$H21)
  )
 ),"
Missing")</f>
        <v xml:space="preserve">
Missing</v>
      </c>
      <c r="N21" s="210" t="str">
        <f t="array" ref="N21">IFERROR(
 INDEX(
  SCHEDULE!$A$1:$A$76,
   SMALL(
   IF(
    (ISNUMBER(SEARCH("A",SCHEDULE!K$1:K$76)))*
   ( (SCHEDULE!J$1:J$76=$B21)+(SCHEDULE!J$1:J$76=$C21)+(SCHEDULE!J$1:J$76=$D21)+(SCHEDULE!J$1:J$76=$E21)+(SCHEDULE!J$1:J$76=$F21)+ (SCHEDULE!L$1:L$76=$G21) ),
     ROW(SCHEDULE!AS$1:AS$76),
     ""
    ),COUNTIF($H$18:$H21,$H21)
  )
 ),"
Missing")</f>
        <v xml:space="preserve">
Missing</v>
      </c>
      <c r="O21" s="210" t="str">
        <f t="array" ref="O21">IFERROR(
 INDEX(
  SCHEDULE!$A$1:$A$76,
   SMALL(
   IF(
    (ISNUMBER(SEARCH("A",SCHEDULE!L$1:L$76)))*
   ( (SCHEDULE!K$1:K$76=$B21)+(SCHEDULE!K$1:K$76=$C21)+(SCHEDULE!K$1:K$76=$D21)+(SCHEDULE!K$1:K$76=$E21)+(SCHEDULE!K$1:K$76=$F21)+ (SCHEDULE!M$1:M$76=$G21) ),
     ROW(SCHEDULE!AT$1:AT$76),
     ""
    ),COUNTIF($H$18:$H21,$H21)
  )
 ),"
Missing")</f>
        <v>Kenton Bailey</v>
      </c>
      <c r="P21" s="210" t="str">
        <f t="array" ref="P21">IFERROR(
 INDEX(
  SCHEDULE!$A$1:$A$76,
   SMALL(
   IF(
    (ISNUMBER(SEARCH("A",SCHEDULE!M$1:M$76)))*
   ( (SCHEDULE!L$1:L$76=$B21)+(SCHEDULE!L$1:L$76=$C21)+(SCHEDULE!L$1:L$76=$D21)+(SCHEDULE!L$1:L$76=$E21)+(SCHEDULE!L$1:L$76=$F21)+ (SCHEDULE!N$1:N$76=$G21) ),
     ROW(SCHEDULE!AU$1:AU$76),
     ""
    ),COUNTIF($H$18:$H21,$H21)
  )
 ),"
Missing")</f>
        <v xml:space="preserve">
Missing</v>
      </c>
      <c r="Q21" s="210" t="str">
        <f t="array" ref="Q21">IFERROR(
 INDEX(
  SCHEDULE!$A$1:$A$76,
   SMALL(
   IF(
    (ISNUMBER(SEARCH("A",SCHEDULE!N$1:N$76)))*
   ( (SCHEDULE!M$1:M$76=$B21)+(SCHEDULE!M$1:M$76=$C21)+(SCHEDULE!M$1:M$76=$D21)+(SCHEDULE!M$1:M$76=$E21)+(SCHEDULE!M$1:M$76=$F21)+ (SCHEDULE!O$1:O$76=$G21) ),
     ROW(SCHEDULE!AV$1:AV$76),
     ""
    ),COUNTIF($H$18:$H21,$H21)
  )
 ),"
Missing")</f>
        <v>Tim Hall</v>
      </c>
      <c r="R21" s="210" t="str">
        <f t="array" ref="R21">IFERROR(
 INDEX(
  SCHEDULE!$A$1:$A$76,
   SMALL(
   IF(
    (ISNUMBER(SEARCH("A",SCHEDULE!O$1:O$76)))*
   ( (SCHEDULE!N$1:N$76=$B21)+(SCHEDULE!N$1:N$76=$C21)+(SCHEDULE!N$1:N$76=$D21)+(SCHEDULE!N$1:N$76=$E21)+(SCHEDULE!N$1:N$76=$F21)+ (SCHEDULE!P$1:P$76=$G21) ),
     ROW(SCHEDULE!AW$1:AW$76),
     ""
    ),COUNTIF($H$18:$H21,$H21)
  )
 ),"
Missing")</f>
        <v xml:space="preserve">
Missing</v>
      </c>
      <c r="S21" s="210" t="str">
        <f t="array" ref="S21">IFERROR(
 INDEX(
  SCHEDULE!$A$1:$A$76,
   SMALL(
   IF(
    (ISNUMBER(SEARCH("A",SCHEDULE!P$1:P$76)))*
   ( (SCHEDULE!O$1:O$76=$B21)+(SCHEDULE!O$1:O$76=$C21)+(SCHEDULE!O$1:O$76=$D21)+(SCHEDULE!O$1:O$76=$E21)+(SCHEDULE!O$1:O$76=$F21)+ (SCHEDULE!Q$1:Q$76=$G21) ),
     ROW(SCHEDULE!AX$1:AX$76),
     ""
    ),COUNTIF($H$18:$H21,$H21)
  )
 ),"
Missing")</f>
        <v xml:space="preserve">
Missing</v>
      </c>
      <c r="T21" s="210" t="str">
        <f t="array" ref="T21">IFERROR(
 INDEX(
  SCHEDULE!$A$1:$A$76,
   SMALL(
   IF(
    (ISNUMBER(SEARCH("A",SCHEDULE!Q$1:Q$76)))*
   ( (SCHEDULE!P$1:P$76=$B21)+(SCHEDULE!P$1:P$76=$C21)+(SCHEDULE!P$1:P$76=$D21)+(SCHEDULE!P$1:P$76=$E21)+(SCHEDULE!P$1:P$76=$F21)+ (SCHEDULE!R$1:R$76=$G21) ),
     ROW(SCHEDULE!AY$1:AY$76),
     ""
    ),COUNTIF($H$18:$H21,$H21)
  )
 ),"
Missing")</f>
        <v>Tim Hall</v>
      </c>
      <c r="U21" s="210" t="str">
        <f t="array" ref="U21">IFERROR(
 INDEX(
  SCHEDULE!$A$1:$A$76,
   SMALL(
   IF(
    (ISNUMBER(SEARCH("A",SCHEDULE!R$1:R$76)))*
   ( (SCHEDULE!Q$1:Q$76=$B21)+(SCHEDULE!Q$1:Q$76=$C21)+(SCHEDULE!Q$1:Q$76=$D21)+(SCHEDULE!Q$1:Q$76=$E21)+(SCHEDULE!Q$1:Q$76=$F21)+ (SCHEDULE!S$1:S$76=$G21) ),
     ROW(SCHEDULE!AZ$1:AZ$76),
     ""
    ),COUNTIF($H$18:$H21,$H21)
  )
 ),"
Missing")</f>
        <v xml:space="preserve">
Missing</v>
      </c>
      <c r="V21" s="210" t="str">
        <f t="array" ref="V21">IFERROR(
 INDEX(
  SCHEDULE!$A$1:$A$76,
   SMALL(
   IF(
    (ISNUMBER(SEARCH("A",SCHEDULE!S$1:S$76)))*
   ( (SCHEDULE!R$1:R$76=$B21)+(SCHEDULE!R$1:R$76=$C21)+(SCHEDULE!R$1:R$76=$D21)+(SCHEDULE!R$1:R$76=$E21)+(SCHEDULE!R$1:R$76=$F21)+ (SCHEDULE!T$1:T$76=$G21) ),
     ROW(SCHEDULE!BA$1:BA$76),
     ""
    ),COUNTIF($H$18:$H21,$H21)
  )
 ),"
Missing")</f>
        <v xml:space="preserve">
Missing</v>
      </c>
      <c r="W21" s="210" t="str">
        <f t="array" ref="W21">IFERROR(
 INDEX(
  SCHEDULE!$A$1:$A$76,
   SMALL(
   IF(
    (ISNUMBER(SEARCH("A",SCHEDULE!T$1:T$76)))*
   ( (SCHEDULE!S$1:S$76=$B21)+(SCHEDULE!S$1:S$76=$C21)+(SCHEDULE!S$1:S$76=$D21)+(SCHEDULE!S$1:S$76=$E21)+(SCHEDULE!S$1:S$76=$F21)+ (SCHEDULE!U$1:U$76=$G21) ),
     ROW(SCHEDULE!BB$1:BB$76),
     ""
    ),COUNTIF($H$18:$H21,$H21)
  )
 ),"
Missing")</f>
        <v>Tim Hall</v>
      </c>
      <c r="X21" s="210" t="str">
        <f t="array" ref="X21">IFERROR(
 INDEX(
  SCHEDULE!$A$1:$A$76,
   SMALL(
   IF(
    (ISNUMBER(SEARCH("A",SCHEDULE!U$1:U$76)))*
   ( (SCHEDULE!T$1:T$76=$B21)+(SCHEDULE!T$1:T$76=$C21)+(SCHEDULE!T$1:T$76=$D21)+(SCHEDULE!T$1:T$76=$E21)+(SCHEDULE!T$1:T$76=$F21)+ (SCHEDULE!V$1:V$76=$G21) ),
     ROW(SCHEDULE!BC$1:BC$76),
     ""
    ),COUNTIF($H$18:$H21,$H21)
  )
 ),"
Missing")</f>
        <v xml:space="preserve">
Missing</v>
      </c>
      <c r="Y21" s="210" t="str">
        <f t="array" ref="Y21">IFERROR(
 INDEX(
  SCHEDULE!$A$1:$A$76,
   SMALL(
   IF(
    (ISNUMBER(SEARCH("A",SCHEDULE!V$1:V$76)))*
   ( (SCHEDULE!U$1:U$76=$B21)+(SCHEDULE!U$1:U$76=$C21)+(SCHEDULE!U$1:U$76=$D21)+(SCHEDULE!U$1:U$76=$E21)+(SCHEDULE!U$1:U$76=$F21)+ (SCHEDULE!W$1:W$76=$G21) ),
     ROW(SCHEDULE!BD$1:BD$76),
     ""
    ),COUNTIF($H$18:$H21,$H21)
  )
 ),"
Missing")</f>
        <v xml:space="preserve">
Missing</v>
      </c>
      <c r="Z21" s="210" t="str">
        <f t="array" ref="Z21">IFERROR(
 INDEX(
  SCHEDULE!$A$1:$A$76,
   SMALL(
   IF(
    (ISNUMBER(SEARCH("A",SCHEDULE!W$1:W$76)))*
   ( (SCHEDULE!V$1:V$76=$B21)+(SCHEDULE!V$1:V$76=$C21)+(SCHEDULE!V$1:V$76=$D21)+(SCHEDULE!V$1:V$76=$E21)+(SCHEDULE!V$1:V$76=$F21)+ (SCHEDULE!X$1:X$76=$G21) ),
     ROW(SCHEDULE!BE$1:BE$76),
     ""
    ),COUNTIF($H$18:$H21,$H21)
  )
 ),"
Missing")</f>
        <v>Tim Hall</v>
      </c>
      <c r="AA21" s="210" t="str">
        <f t="array" ref="AA21">IFERROR(
 INDEX(
  SCHEDULE!$A$1:$A$76,
   SMALL(
   IF(
    (ISNUMBER(SEARCH("A",SCHEDULE!X$1:X$76)))*
   ( (SCHEDULE!W$1:W$76=$B21)+(SCHEDULE!W$1:W$76=$C21)+(SCHEDULE!W$1:W$76=$D21)+(SCHEDULE!W$1:W$76=$E21)+(SCHEDULE!W$1:W$76=$F21)+ (SCHEDULE!Y$1:Y$76=$G21) ),
     ROW(SCHEDULE!BF$1:BF$76),
     ""
    ),COUNTIF($H$18:$H21,$H21)
  )
 ),"
Missing")</f>
        <v xml:space="preserve">
Missing</v>
      </c>
      <c r="AB21" s="210" t="str">
        <f t="array" ref="AB21">IFERROR(
 INDEX(
  SCHEDULE!$A$1:$A$76,
   SMALL(
   IF(
    (ISNUMBER(SEARCH("A",SCHEDULE!Y$1:Y$76)))*
   ( (SCHEDULE!X$1:X$76=$B21)+(SCHEDULE!X$1:X$76=$C21)+(SCHEDULE!X$1:X$76=$D21)+(SCHEDULE!X$1:X$76=$E21)+(SCHEDULE!X$1:X$76=$F21)+ (SCHEDULE!Z$1:Z$76=$G21) ),
     ROW(SCHEDULE!BG$1:BG$76),
     ""
    ),COUNTIF($H$18:$H21,$H21)
  )
 ),"
Missing")</f>
        <v xml:space="preserve">
Missing</v>
      </c>
      <c r="AC21" s="210" t="str">
        <f t="array" ref="AC21">IFERROR(
 INDEX(
  SCHEDULE!$A$1:$A$76,
   SMALL(
   IF(
    (ISNUMBER(SEARCH("A",SCHEDULE!Z$1:Z$76)))*
   ( (SCHEDULE!Y$1:Y$76=$B21)+(SCHEDULE!Y$1:Y$76=$C21)+(SCHEDULE!Y$1:Y$76=$D21)+(SCHEDULE!Y$1:Y$76=$E21)+(SCHEDULE!Y$1:Y$76=$F21)+ (SCHEDULE!AA$1:AA$76=$G21) ),
     ROW(SCHEDULE!BH$1:BH$76),
     ""
    ),COUNTIF($H$18:$H21,$H21)
  )
 ),"
Missing")</f>
        <v>Paul Soares</v>
      </c>
      <c r="AD21" s="210" t="str">
        <f t="array" ref="AD21">IFERROR(
 INDEX(
  SCHEDULE!$A$1:$A$76,
   SMALL(
   IF(
    (ISNUMBER(SEARCH("A",SCHEDULE!AA$1:AA$76)))*
   ( (SCHEDULE!Z$1:Z$76=$B21)+(SCHEDULE!Z$1:Z$76=$C21)+(SCHEDULE!Z$1:Z$76=$D21)+(SCHEDULE!Z$1:Z$76=$E21)+(SCHEDULE!Z$1:Z$76=$F21)+ (SCHEDULE!AB$1:AB$76=$G21) ),
     ROW(SCHEDULE!BI$1:BI$76),
     ""
    ),COUNTIF($H$18:$H21,$H21)
  )
 ),"
Missing")</f>
        <v xml:space="preserve">
Missing</v>
      </c>
      <c r="AE21" s="210" t="str">
        <f t="array" ref="AE21">IFERROR(
 INDEX(
  SCHEDULE!$A$1:$A$76,
   SMALL(
   IF(
    (ISNUMBER(SEARCH("A",SCHEDULE!AB$1:AB$76)))*
   ( (SCHEDULE!AA$1:AA$76=$B21)+(SCHEDULE!AA$1:AA$76=$C21)+(SCHEDULE!AA$1:AA$76=$D21)+(SCHEDULE!AA$1:AA$76=$E21)+(SCHEDULE!AA$1:AA$76=$F21)+ (SCHEDULE!AC$1:AC$76=$G21) ),
     ROW(SCHEDULE!BJ$1:BJ$76),
     ""
    ),COUNTIF($H$18:$H21,$H21)
  )
 ),"
Missing")</f>
        <v xml:space="preserve">
Missing</v>
      </c>
      <c r="AF21" s="210" t="str">
        <f t="array" ref="AF21">IFERROR(
 INDEX(
  SCHEDULE!$A$1:$A$76,
   SMALL(
   IF(
    (ISNUMBER(SEARCH("A",SCHEDULE!AC$1:AC$76)))*
   ( (SCHEDULE!AB$1:AB$76=$B21)+(SCHEDULE!AB$1:AB$76=$C21)+(SCHEDULE!AB$1:AB$76=$D21)+(SCHEDULE!AB$1:AB$76=$E21)+(SCHEDULE!AB$1:AB$76=$F21)+ (SCHEDULE!AD$1:AD$76=$G21) ),
     ROW(SCHEDULE!BK$1:BK$76),
     ""
    ),COUNTIF($H$18:$H21,$H21)
  )
 ),"
Missing")</f>
        <v xml:space="preserve">
Missing</v>
      </c>
      <c r="AG21" s="210" t="str">
        <f t="array" ref="AG21">IFERROR(
 INDEX(
  SCHEDULE!$A$1:$A$76,
   SMALL(
   IF(
    (ISNUMBER(SEARCH("A",SCHEDULE!AD$1:AD$76)))*
   ( (SCHEDULE!AC$1:AC$76=$B21)+(SCHEDULE!AC$1:AC$76=$C21)+(SCHEDULE!AC$1:AC$76=$D21)+(SCHEDULE!AC$1:AC$76=$E21)+(SCHEDULE!AC$1:AC$76=$F21)+ (SCHEDULE!AE$1:AE$76=$G21) ),
     ROW(SCHEDULE!BL$1:BL$76),
     ""
    ),COUNTIF($H$18:$H21,$H21)
  )
 ),"
Missing")</f>
        <v xml:space="preserve">
Missing</v>
      </c>
      <c r="AH21" s="210" t="str">
        <f t="array" ref="AH21">IFERROR(
 INDEX(
  SCHEDULE!$A$1:$A$76,
   SMALL(
   IF(
    (ISNUMBER(SEARCH("A",SCHEDULE!AE$1:AE$76)))*
   ( (SCHEDULE!AD$1:AD$76=$B21)+(SCHEDULE!AD$1:AD$76=$C21)+(SCHEDULE!AD$1:AD$76=$D21)+(SCHEDULE!AD$1:AD$76=$E21)+(SCHEDULE!AD$1:AD$76=$F21)+ (SCHEDULE!AF$1:AF$76=$G21) ),
     ROW(SCHEDULE!BM$1:BM$76),
     ""
    ),COUNTIF($H$18:$H21,$H21)
  )
 ),"
Missing")</f>
        <v xml:space="preserve">
Missing</v>
      </c>
      <c r="AI21" s="210" t="str">
        <f t="array" ref="AI21">IFERROR(
 INDEX(
  SCHEDULE!$A$1:$A$76,
   SMALL(
   IF(
    (ISNUMBER(SEARCH("A",SCHEDULE!AF$1:AF$76)))*
   ( (SCHEDULE!AE$1:AE$76=$B21)+(SCHEDULE!AE$1:AE$76=$C21)+(SCHEDULE!AE$1:AE$76=$D21)+(SCHEDULE!AE$1:AE$76=$E21)+(SCHEDULE!AE$1:AE$76=$F21)+ (SCHEDULE!AG$1:AG$76=$G21) ),
     ROW(SCHEDULE!BN$1:BN$76),
     ""
    ),COUNTIF($H$18:$H21,$H21)
  )
 ),"
Missing")</f>
        <v xml:space="preserve">
Missing</v>
      </c>
      <c r="AJ21" s="210" t="str">
        <f t="array" ref="AJ21">IFERROR(
 INDEX(
  SCHEDULE!$A$1:$A$76,
   SMALL(
   IF(
    (ISNUMBER(SEARCH("A",SCHEDULE!AG$1:AG$76)))*
   ( (SCHEDULE!AF$1:AF$76=$B21)+(SCHEDULE!AF$1:AF$76=$C21)+(SCHEDULE!AF$1:AF$76=$D21)+(SCHEDULE!AF$1:AF$76=$E21)+(SCHEDULE!AF$1:AF$76=$F21)+ (SCHEDULE!AH$1:AH$76=$G21) ),
     ROW(SCHEDULE!BO$1:BO$76),
     ""
    ),COUNTIF($H$18:$H21,$H21)
  )
 ),"
Missing")</f>
        <v xml:space="preserve">
Missing</v>
      </c>
      <c r="AK21" s="210" t="str">
        <f t="array" ref="AK21">IFERROR(
 INDEX(
  SCHEDULE!$A$1:$A$76,
   SMALL(
   IF(
    (ISNUMBER(SEARCH("A",SCHEDULE!AH$1:AH$76)))*
   ( (SCHEDULE!AG$1:AG$76=$B21)+(SCHEDULE!AG$1:AG$76=$C21)+(SCHEDULE!AG$1:AG$76=$D21)+(SCHEDULE!AG$1:AG$76=$E21)+(SCHEDULE!AG$1:AG$76=$F21)+ (SCHEDULE!AI$1:AI$76=$G21) ),
     ROW(SCHEDULE!BP$1:BP$76),
     ""
    ),COUNTIF($H$18:$H21,$H21)
  )
 ),"
Missing")</f>
        <v>Cameron Wood</v>
      </c>
      <c r="AL21" s="210" t="str">
        <f t="array" ref="AL21">IFERROR(
 INDEX(
  SCHEDULE!$A$1:$A$76,
   SMALL(
   IF(
    (ISNUMBER(SEARCH("A",SCHEDULE!AI$1:AI$76)))*
   ( (SCHEDULE!AH$1:AH$76=$B21)+(SCHEDULE!AH$1:AH$76=$C21)+(SCHEDULE!AH$1:AH$76=$D21)+(SCHEDULE!AH$1:AH$76=$E21)+(SCHEDULE!AH$1:AH$76=$F21)+ (SCHEDULE!AJ$1:AJ$76=$G21) ),
     ROW(SCHEDULE!BQ$1:BQ$76),
     ""
    ),COUNTIF($H$18:$H21,$H21)
  )
 ),"
Missing")</f>
        <v xml:space="preserve">
Missing</v>
      </c>
      <c r="AM21" s="210" t="str">
        <f t="array" ref="AM21">IFERROR(
 INDEX(
  SCHEDULE!$A$1:$A$76,
   SMALL(
   IF(
    (ISNUMBER(SEARCH("A",SCHEDULE!AJ$1:AJ$76)))*
   ( (SCHEDULE!AI$1:AI$76=$B21)+(SCHEDULE!AI$1:AI$76=$C21)+(SCHEDULE!AI$1:AI$76=$D21)+(SCHEDULE!AI$1:AI$76=$E21)+(SCHEDULE!AI$1:AI$76=$F21)+ (SCHEDULE!AK$1:AK$76=$G21) ),
     ROW(SCHEDULE!BR$1:BR$76),
     ""
    ),COUNTIF($H$18:$H21,$H21)
  )
 ),"
Missing")</f>
        <v xml:space="preserve">
Missing</v>
      </c>
      <c r="AN21" s="210" t="str">
        <f t="array" ref="AN21">IFERROR(
 INDEX(
  SCHEDULE!$A$1:$A$76,
   SMALL(
   IF(
    (ISNUMBER(SEARCH("A",SCHEDULE!AK$1:AK$76)))*
   ( (SCHEDULE!AJ$1:AJ$76=$B21)+(SCHEDULE!AJ$1:AJ$76=$C21)+(SCHEDULE!AJ$1:AJ$76=$D21)+(SCHEDULE!AJ$1:AJ$76=$E21)+(SCHEDULE!AJ$1:AJ$76=$F21)+ (SCHEDULE!AL$1:AL$76=$G21) ),
     ROW(SCHEDULE!BS$1:BS$76),
     ""
    ),COUNTIF($H$18:$H21,$H21)
  )
 ),"
Missing")</f>
        <v>Kenton Bailey</v>
      </c>
      <c r="AO21" s="210" t="str">
        <f t="array" ref="AO21">IFERROR(
 INDEX(
  SCHEDULE!$A$1:$A$76,
   SMALL(
   IF(
    (ISNUMBER(SEARCH("A",SCHEDULE!AL$1:AL$76)))*
   ( (SCHEDULE!AK$1:AK$76=$B21)+(SCHEDULE!AK$1:AK$76=$C21)+(SCHEDULE!AK$1:AK$76=$D21)+(SCHEDULE!AK$1:AK$76=$E21)+(SCHEDULE!AK$1:AK$76=$F21)+ (SCHEDULE!AM$1:AM$76=$G21) ),
     ROW(SCHEDULE!BT$1:BT$76),
     ""
    ),COUNTIF($H$18:$H21,$H21)
  )
 ),"
Missing")</f>
        <v xml:space="preserve">
Missing</v>
      </c>
      <c r="AP21" s="210" t="str">
        <f t="array" ref="AP21">IFERROR(
 INDEX(
  SCHEDULE!$A$1:$A$76,
   SMALL(
   IF(
    (ISNUMBER(SEARCH("A",SCHEDULE!AM$1:AM$76)))*
   ( (SCHEDULE!AL$1:AL$76=$B21)+(SCHEDULE!AL$1:AL$76=$C21)+(SCHEDULE!AL$1:AL$76=$D21)+(SCHEDULE!AL$1:AL$76=$E21)+(SCHEDULE!AL$1:AL$76=$F21)+ (SCHEDULE!AN$1:AN$76=$G21) ),
     ROW(SCHEDULE!BU$1:BU$76),
     ""
    ),COUNTIF($H$18:$H21,$H21)
  )
 ),"
Missing")</f>
        <v xml:space="preserve">
Missing</v>
      </c>
      <c r="AQ21" s="210" t="str">
        <f t="array" ref="AQ21">IFERROR(
 INDEX(
  SCHEDULE!$A$1:$A$76,
   SMALL(
   IF(
    (ISNUMBER(SEARCH("A",SCHEDULE!AN$1:AN$76)))*
   ( (SCHEDULE!AM$1:AM$76=$B21)+(SCHEDULE!AM$1:AM$76=$C21)+(SCHEDULE!AM$1:AM$76=$D21)+(SCHEDULE!AM$1:AM$76=$E21)+(SCHEDULE!AM$1:AM$76=$F21)+ (SCHEDULE!AO$1:AO$76=$G21) ),
     ROW(SCHEDULE!BV$1:BV$76),
     ""
    ),COUNTIF($H$18:$H21,$H21)
  )
 ),"
Missing")</f>
        <v>Kenton Bailey</v>
      </c>
      <c r="AR21" s="210" t="str">
        <f t="array" ref="AR21">IFERROR(
 INDEX(
  SCHEDULE!$A$1:$A$76,
   SMALL(
   IF(
    (ISNUMBER(SEARCH("A",SCHEDULE!AO$1:AO$76)))*
   ( (SCHEDULE!AN$1:AN$76=$B21)+(SCHEDULE!AN$1:AN$76=$C21)+(SCHEDULE!AN$1:AN$76=$D21)+(SCHEDULE!AN$1:AN$76=$E21)+(SCHEDULE!AN$1:AN$76=$F21)+ (SCHEDULE!AP$1:AP$76=$G21) ),
     ROW(SCHEDULE!BW$1:BW$76),
     ""
    ),COUNTIF($H$18:$H21,$H21)
  )
 ),"
Missing")</f>
        <v xml:space="preserve">
Missing</v>
      </c>
      <c r="AS21" s="210" t="str">
        <f t="array" ref="AS21">IFERROR(
 INDEX(
  SCHEDULE!$A$1:$A$76,
   SMALL(
   IF(
    (ISNUMBER(SEARCH("A",SCHEDULE!AP$1:AP$76)))*
   ( (SCHEDULE!AO$1:AO$76=$B21)+(SCHEDULE!AO$1:AO$76=$C21)+(SCHEDULE!AO$1:AO$76=$D21)+(SCHEDULE!AO$1:AO$76=$E21)+(SCHEDULE!AO$1:AO$76=$F21)+ (SCHEDULE!AQ$1:AQ$76=$G21) ),
     ROW(SCHEDULE!BX$1:BX$76),
     ""
    ),COUNTIF($H$18:$H21,$H21)
  )
 ),"
Missing")</f>
        <v xml:space="preserve">
Missing</v>
      </c>
      <c r="AT21" s="210" t="str">
        <f t="array" ref="AT21">IFERROR(
 INDEX(
  SCHEDULE!$A$1:$A$76,
   SMALL(
   IF(
    (ISNUMBER(SEARCH("A",SCHEDULE!AQ$1:AQ$76)))*
   ( (SCHEDULE!AP$1:AP$76=$B21)+(SCHEDULE!AP$1:AP$76=$C21)+(SCHEDULE!AP$1:AP$76=$D21)+(SCHEDULE!AP$1:AP$76=$E21)+(SCHEDULE!AP$1:AP$76=$F21)+ (SCHEDULE!AR$1:AR$76=$G21) ),
     ROW(SCHEDULE!BY$1:BY$76),
     ""
    ),COUNTIF($H$18:$H21,$H21)
  )
 ),"
Missing")</f>
        <v>Kenton Bailey</v>
      </c>
      <c r="AU21" s="210" t="str">
        <f t="array" ref="AU21">IFERROR(
 INDEX(
  SCHEDULE!$A$1:$A$76,
   SMALL(
   IF(
    (ISNUMBER(SEARCH("A",SCHEDULE!AR$1:AR$76)))*
   ( (SCHEDULE!AQ$1:AQ$76=$B21)+(SCHEDULE!AQ$1:AQ$76=$C21)+(SCHEDULE!AQ$1:AQ$76=$D21)+(SCHEDULE!AQ$1:AQ$76=$E21)+(SCHEDULE!AQ$1:AQ$76=$F21)+ (SCHEDULE!AS$1:AS$76=$G21) ),
     ROW(SCHEDULE!BZ$1:BZ$76),
     ""
    ),COUNTIF($H$18:$H21,$H21)
  )
 ),"
Missing")</f>
        <v xml:space="preserve">
Missing</v>
      </c>
      <c r="AV21" s="210" t="str">
        <f t="array" ref="AV21">IFERROR(
 INDEX(
  SCHEDULE!$A$1:$A$76,
   SMALL(
   IF(
    (ISNUMBER(SEARCH("A",SCHEDULE!AS$1:AS$76)))*
   ( (SCHEDULE!AR$1:AR$76=$B21)+(SCHEDULE!AR$1:AR$76=$C21)+(SCHEDULE!AR$1:AR$76=$D21)+(SCHEDULE!AR$1:AR$76=$E21)+(SCHEDULE!AR$1:AR$76=$F21)+ (SCHEDULE!AT$1:AT$76=$G21) ),
     ROW(SCHEDULE!CA$1:CA$76),
     ""
    ),COUNTIF($H$18:$H21,$H21)
  )
 ),"
Missing")</f>
        <v xml:space="preserve">
Missing</v>
      </c>
      <c r="AW21" s="210" t="str">
        <f t="array" ref="AW21">IFERROR(
 INDEX(
  SCHEDULE!$A$1:$A$76,
   SMALL(
   IF(
    (ISNUMBER(SEARCH("A",SCHEDULE!AT$1:AT$76)))*
   ( (SCHEDULE!AS$1:AS$76=$B21)+(SCHEDULE!AS$1:AS$76=$C21)+(SCHEDULE!AS$1:AS$76=$D21)+(SCHEDULE!AS$1:AS$76=$E21)+(SCHEDULE!AS$1:AS$76=$F21)+ (SCHEDULE!AU$1:AU$76=$G21) ),
     ROW(SCHEDULE!CB$1:CB$76),
     ""
    ),COUNTIF($H$18:$H21,$H21)
  )
 ),"
Missing")</f>
        <v>Kenton Bailey</v>
      </c>
      <c r="AX21" s="210" t="str">
        <f t="array" ref="AX21">IFERROR(
 INDEX(
  SCHEDULE!$A$1:$A$76,
   SMALL(
   IF(
    (ISNUMBER(SEARCH("A",SCHEDULE!AU$1:AU$76)))*
   ( (SCHEDULE!AT$1:AT$76=$B21)+(SCHEDULE!AT$1:AT$76=$C21)+(SCHEDULE!AT$1:AT$76=$D21)+(SCHEDULE!AT$1:AT$76=$E21)+(SCHEDULE!AT$1:AT$76=$F21)+ (SCHEDULE!AV$1:AV$76=$G21) ),
     ROW(SCHEDULE!CC$1:CC$76),
     ""
    ),COUNTIF($H$18:$H21,$H21)
  )
 ),"
Missing")</f>
        <v xml:space="preserve">
Missing</v>
      </c>
      <c r="AY21" s="210" t="str">
        <f t="array" ref="AY21">IFERROR(
 INDEX(
  SCHEDULE!$A$1:$A$76,
   SMALL(
   IF(
    (ISNUMBER(SEARCH("A",SCHEDULE!AV$1:AV$76)))*
   ( (SCHEDULE!AU$1:AU$76=$B21)+(SCHEDULE!AU$1:AU$76=$C21)+(SCHEDULE!AU$1:AU$76=$D21)+(SCHEDULE!AU$1:AU$76=$E21)+(SCHEDULE!AU$1:AU$76=$F21)+ (SCHEDULE!AW$1:AW$76=$G21) ),
     ROW(SCHEDULE!CD$1:CD$76),
     ""
    ),COUNTIF($H$18:$H21,$H21)
  )
 ),"
Missing")</f>
        <v xml:space="preserve">
Missing</v>
      </c>
      <c r="AZ21" s="210" t="str">
        <f t="array" ref="AZ21">IFERROR(
 INDEX(
  SCHEDULE!$A$1:$A$76,
   SMALL(
   IF(
    (ISNUMBER(SEARCH("A",SCHEDULE!AW$1:AW$76)))*
   ( (SCHEDULE!AV$1:AV$76=$B21)+(SCHEDULE!AV$1:AV$76=$C21)+(SCHEDULE!AV$1:AV$76=$D21)+(SCHEDULE!AV$1:AV$76=$E21)+(SCHEDULE!AV$1:AV$76=$F21)+ (SCHEDULE!AX$1:AX$76=$G21) ),
     ROW(SCHEDULE!CE$1:CE$76),
     ""
    ),COUNTIF($H$18:$H21,$H21)
  )
 ),"
Missing")</f>
        <v xml:space="preserve">
Missing</v>
      </c>
      <c r="BA21" s="210" t="str">
        <f t="array" ref="BA21">IFERROR(
 INDEX(
  SCHEDULE!$A$1:$A$76,
   SMALL(
   IF(
    (ISNUMBER(SEARCH("A",SCHEDULE!AX$1:AX$76)))*
   ( (SCHEDULE!AW$1:AW$76=$B21)+(SCHEDULE!AW$1:AW$76=$C21)+(SCHEDULE!AW$1:AW$76=$D21)+(SCHEDULE!AW$1:AW$76=$E21)+(SCHEDULE!AW$1:AW$76=$F21)+ (SCHEDULE!AY$1:AY$76=$G21) ),
     ROW(SCHEDULE!CF$1:CF$76),
     ""
    ),COUNTIF($H$18:$H21,$H21)
  )
 ),"
Missing")</f>
        <v xml:space="preserve">
Missing</v>
      </c>
      <c r="BB21" s="210" t="str">
        <f t="array" ref="BB21">IFERROR(
 INDEX(
  SCHEDULE!$A$1:$A$76,
   SMALL(
   IF(
    (ISNUMBER(SEARCH("A",SCHEDULE!AY$1:AY$76)))*
   ( (SCHEDULE!AX$1:AX$76=$B21)+(SCHEDULE!AX$1:AX$76=$C21)+(SCHEDULE!AX$1:AX$76=$D21)+(SCHEDULE!AX$1:AX$76=$E21)+(SCHEDULE!AX$1:AX$76=$F21)+ (SCHEDULE!AZ$1:AZ$76=$G21) ),
     ROW(SCHEDULE!CG$1:CG$76),
     ""
    ),COUNTIF($H$18:$H21,$H21)
  )
 ),"
Missing")</f>
        <v xml:space="preserve">
Missing</v>
      </c>
      <c r="BC21" s="210" t="str">
        <f t="array" ref="BC21">IFERROR(
 INDEX(
  SCHEDULE!$A$1:$A$76,
   SMALL(
   IF(
    (ISNUMBER(SEARCH("A",SCHEDULE!AZ$1:AZ$76)))*
   ( (SCHEDULE!AY$1:AY$76=$B21)+(SCHEDULE!AY$1:AY$76=$C21)+(SCHEDULE!AY$1:AY$76=$D21)+(SCHEDULE!AY$1:AY$76=$E21)+(SCHEDULE!AY$1:AY$76=$F21)+ (SCHEDULE!BA$1:BA$76=$G21) ),
     ROW(SCHEDULE!CH$1:CH$76),
     ""
    ),COUNTIF($H$18:$H21,$H21)
  )
 ),"
Missing")</f>
        <v xml:space="preserve">
Missing</v>
      </c>
      <c r="BD21" s="210" t="str">
        <f t="array" ref="BD21">IFERROR(
 INDEX(
  SCHEDULE!$A$1:$A$76,
   SMALL(
   IF(
    (ISNUMBER(SEARCH("A",SCHEDULE!BA$1:BA$76)))*
   ( (SCHEDULE!AZ$1:AZ$76=$B21)+(SCHEDULE!AZ$1:AZ$76=$C21)+(SCHEDULE!AZ$1:AZ$76=$D21)+(SCHEDULE!AZ$1:AZ$76=$E21)+(SCHEDULE!AZ$1:AZ$76=$F21)+ (SCHEDULE!BB$1:BB$76=$G21) ),
     ROW(SCHEDULE!CI$1:CI$76),
     ""
    ),COUNTIF($H$18:$H21,$H21)
  )
 ),"
Missing")</f>
        <v xml:space="preserve">
Missing</v>
      </c>
      <c r="BE21" s="210" t="str">
        <f t="array" ref="BE21">IFERROR(
 INDEX(
  SCHEDULE!$A$1:$A$76,
   SMALL(
   IF(
    (ISNUMBER(SEARCH("A",SCHEDULE!BB$1:BB$76)))*
   ( (SCHEDULE!BA$1:BA$76=$B21)+(SCHEDULE!BA$1:BA$76=$C21)+(SCHEDULE!BA$1:BA$76=$D21)+(SCHEDULE!BA$1:BA$76=$E21)+(SCHEDULE!BA$1:BA$76=$F21)+ (SCHEDULE!BC$1:BC$76=$G21) ),
     ROW(SCHEDULE!CJ$1:CJ$76),
     ""
    ),COUNTIF($H$18:$H21,$H21)
  )
 ),"
Missing")</f>
        <v xml:space="preserve">
Missing</v>
      </c>
    </row>
    <row r="22" spans="2:57" x14ac:dyDescent="0.2">
      <c r="B22" s="206">
        <v>0.58333333333333337</v>
      </c>
      <c r="C22" s="206" t="s">
        <v>89</v>
      </c>
      <c r="D22" s="206">
        <v>0.5</v>
      </c>
      <c r="E22" s="206">
        <v>0.54166666666666663</v>
      </c>
      <c r="F22" s="206"/>
      <c r="G22" s="206" t="s">
        <v>86</v>
      </c>
      <c r="H22" s="207" t="s">
        <v>104</v>
      </c>
      <c r="I22" s="210" t="str">
        <f t="array" ref="I22">IFERROR(
 INDEX(
  SCHEDULE!$A$1:$A$76,
   SMALL(
   IF(
    (ISNUMBER(SEARCH("A",SCHEDULE!F$1:F$76)))*
   ( (SCHEDULE!E$1:E$76=$B22)+(SCHEDULE!E$1:E$76=$C22)+(SCHEDULE!E$1:E$76=$D22)+(SCHEDULE!E$1:E$76=$E22)+(SCHEDULE!E$1:E$76=$F22)+ (SCHEDULE!G$1:G$76=$G22) ),
     ROW(SCHEDULE!AN$1:AN$76),
     ""
    ),COUNTIF($H$18:$H22,$H22)
  )
 ),"
Missing")</f>
        <v>Ed Baron</v>
      </c>
      <c r="J22" s="210" t="str">
        <f t="array" ref="J22">IFERROR(
 INDEX(
  SCHEDULE!$A$1:$A$76,
   SMALL(
   IF(
    (ISNUMBER(SEARCH("A",SCHEDULE!G$1:G$76)))*
   ( (SCHEDULE!F$1:F$76=$B22)+(SCHEDULE!F$1:F$76=$C22)+(SCHEDULE!F$1:F$76=$D22)+(SCHEDULE!F$1:F$76=$E22)+(SCHEDULE!F$1:F$76=$F22)+ (SCHEDULE!H$1:H$76=$G22) ),
     ROW(SCHEDULE!AO$1:AO$76),
     ""
    ),COUNTIF($H$18:$H22,$H22)
  )
 ),"
Missing")</f>
        <v xml:space="preserve">
Missing</v>
      </c>
      <c r="K22" s="210" t="str">
        <f t="array" ref="K22">IFERROR(
 INDEX(
  SCHEDULE!$A$1:$A$76,
   SMALL(
   IF(
    (ISNUMBER(SEARCH("A",SCHEDULE!H$1:H$76)))*
   ( (SCHEDULE!G$1:G$76=$B22)+(SCHEDULE!G$1:G$76=$C22)+(SCHEDULE!G$1:G$76=$D22)+(SCHEDULE!G$1:G$76=$E22)+(SCHEDULE!G$1:G$76=$F22)+ (SCHEDULE!I$1:I$76=$G22) ),
     ROW(SCHEDULE!AP$1:AP$76),
     ""
    ),COUNTIF($H$18:$H22,$H22)
  )
 ),"
Missing")</f>
        <v xml:space="preserve">
Missing</v>
      </c>
      <c r="L22" s="210" t="str">
        <f t="array" ref="L22">IFERROR(
 INDEX(
  SCHEDULE!$A$1:$A$76,
   SMALL(
   IF(
    (ISNUMBER(SEARCH("A",SCHEDULE!I$1:I$76)))*
   ( (SCHEDULE!H$1:H$76=$B22)+(SCHEDULE!H$1:H$76=$C22)+(SCHEDULE!H$1:H$76=$D22)+(SCHEDULE!H$1:H$76=$E22)+(SCHEDULE!H$1:H$76=$F22)+ (SCHEDULE!J$1:J$76=$G22) ),
     ROW(SCHEDULE!AQ$1:AQ$76),
     ""
    ),COUNTIF($H$18:$H22,$H22)
  )
 ),"
Missing")</f>
        <v>Date Range</v>
      </c>
      <c r="M22" s="210" t="str">
        <f t="array" ref="M22">IFERROR(
 INDEX(
  SCHEDULE!$A$1:$A$76,
   SMALL(
   IF(
    (ISNUMBER(SEARCH("A",SCHEDULE!J$1:J$76)))*
   ( (SCHEDULE!I$1:I$76=$B22)+(SCHEDULE!I$1:I$76=$C22)+(SCHEDULE!I$1:I$76=$D22)+(SCHEDULE!I$1:I$76=$E22)+(SCHEDULE!I$1:I$76=$F22)+ (SCHEDULE!K$1:K$76=$G22) ),
     ROW(SCHEDULE!AR$1:AR$76),
     ""
    ),COUNTIF($H$18:$H22,$H22)
  )
 ),"
Missing")</f>
        <v>Challis Gatten</v>
      </c>
      <c r="N22" s="210" t="str">
        <f t="array" ref="N22">IFERROR(
 INDEX(
  SCHEDULE!$A$1:$A$76,
   SMALL(
   IF(
    (ISNUMBER(SEARCH("A",SCHEDULE!K$1:K$76)))*
   ( (SCHEDULE!J$1:J$76=$B22)+(SCHEDULE!J$1:J$76=$C22)+(SCHEDULE!J$1:J$76=$D22)+(SCHEDULE!J$1:J$76=$E22)+(SCHEDULE!J$1:J$76=$F22)+ (SCHEDULE!L$1:L$76=$G22) ),
     ROW(SCHEDULE!AS$1:AS$76),
     ""
    ),COUNTIF($H$18:$H22,$H22)
  )
 ),"
Missing")</f>
        <v xml:space="preserve">
Missing</v>
      </c>
      <c r="O22" s="210" t="str">
        <f t="array" ref="O22">IFERROR(
 INDEX(
  SCHEDULE!$A$1:$A$76,
   SMALL(
   IF(
    (ISNUMBER(SEARCH("A",SCHEDULE!L$1:L$76)))*
   ( (SCHEDULE!K$1:K$76=$B22)+(SCHEDULE!K$1:K$76=$C22)+(SCHEDULE!K$1:K$76=$D22)+(SCHEDULE!K$1:K$76=$E22)+(SCHEDULE!K$1:K$76=$F22)+ (SCHEDULE!M$1:M$76=$G22) ),
     ROW(SCHEDULE!AT$1:AT$76),
     ""
    ),COUNTIF($H$18:$H22,$H22)
  )
 ),"
Missing")</f>
        <v>Date Range</v>
      </c>
      <c r="P22" s="210" t="str">
        <f t="array" ref="P22">IFERROR(
 INDEX(
  SCHEDULE!$A$1:$A$76,
   SMALL(
   IF(
    (ISNUMBER(SEARCH("A",SCHEDULE!M$1:M$76)))*
   ( (SCHEDULE!L$1:L$76=$B22)+(SCHEDULE!L$1:L$76=$C22)+(SCHEDULE!L$1:L$76=$D22)+(SCHEDULE!L$1:L$76=$E22)+(SCHEDULE!L$1:L$76=$F22)+ (SCHEDULE!N$1:N$76=$G22) ),
     ROW(SCHEDULE!AU$1:AU$76),
     ""
    ),COUNTIF($H$18:$H22,$H22)
  )
 ),"
Missing")</f>
        <v>Challis Gatten</v>
      </c>
      <c r="Q22" s="210" t="str">
        <f t="array" ref="Q22">IFERROR(
 INDEX(
  SCHEDULE!$A$1:$A$76,
   SMALL(
   IF(
    (ISNUMBER(SEARCH("A",SCHEDULE!N$1:N$76)))*
   ( (SCHEDULE!M$1:M$76=$B22)+(SCHEDULE!M$1:M$76=$C22)+(SCHEDULE!M$1:M$76=$D22)+(SCHEDULE!M$1:M$76=$E22)+(SCHEDULE!M$1:M$76=$F22)+ (SCHEDULE!O$1:O$76=$G22) ),
     ROW(SCHEDULE!AV$1:AV$76),
     ""
    ),COUNTIF($H$18:$H22,$H22)
  )
 ),"
Missing")</f>
        <v>Blaze Chabot</v>
      </c>
      <c r="R22" s="210" t="str">
        <f t="array" ref="R22">IFERROR(
 INDEX(
  SCHEDULE!$A$1:$A$76,
   SMALL(
   IF(
    (ISNUMBER(SEARCH("A",SCHEDULE!O$1:O$76)))*
   ( (SCHEDULE!N$1:N$76=$B22)+(SCHEDULE!N$1:N$76=$C22)+(SCHEDULE!N$1:N$76=$D22)+(SCHEDULE!N$1:N$76=$E22)+(SCHEDULE!N$1:N$76=$F22)+ (SCHEDULE!P$1:P$76=$G22) ),
     ROW(SCHEDULE!AW$1:AW$76),
     ""
    ),COUNTIF($H$18:$H22,$H22)
  )
 ),"
Missing")</f>
        <v>Date Range</v>
      </c>
      <c r="S22" s="210" t="str">
        <f t="array" ref="S22">IFERROR(
 INDEX(
  SCHEDULE!$A$1:$A$76,
   SMALL(
   IF(
    (ISNUMBER(SEARCH("A",SCHEDULE!P$1:P$76)))*
   ( (SCHEDULE!O$1:O$76=$B22)+(SCHEDULE!O$1:O$76=$C22)+(SCHEDULE!O$1:O$76=$D22)+(SCHEDULE!O$1:O$76=$E22)+(SCHEDULE!O$1:O$76=$F22)+ (SCHEDULE!Q$1:Q$76=$G22) ),
     ROW(SCHEDULE!AX$1:AX$76),
     ""
    ),COUNTIF($H$18:$H22,$H22)
  )
 ),"
Missing")</f>
        <v>Challis Gatten</v>
      </c>
      <c r="T22" s="210" t="str">
        <f t="array" ref="T22">IFERROR(
 INDEX(
  SCHEDULE!$A$1:$A$76,
   SMALL(
   IF(
    (ISNUMBER(SEARCH("A",SCHEDULE!Q$1:Q$76)))*
   ( (SCHEDULE!P$1:P$76=$B22)+(SCHEDULE!P$1:P$76=$C22)+(SCHEDULE!P$1:P$76=$D22)+(SCHEDULE!P$1:P$76=$E22)+(SCHEDULE!P$1:P$76=$F22)+ (SCHEDULE!R$1:R$76=$G22) ),
     ROW(SCHEDULE!AY$1:AY$76),
     ""
    ),COUNTIF($H$18:$H22,$H22)
  )
 ),"
Missing")</f>
        <v>Blaze Chabot</v>
      </c>
      <c r="U22" s="210" t="str">
        <f t="array" ref="U22">IFERROR(
 INDEX(
  SCHEDULE!$A$1:$A$76,
   SMALL(
   IF(
    (ISNUMBER(SEARCH("A",SCHEDULE!R$1:R$76)))*
   ( (SCHEDULE!Q$1:Q$76=$B22)+(SCHEDULE!Q$1:Q$76=$C22)+(SCHEDULE!Q$1:Q$76=$D22)+(SCHEDULE!Q$1:Q$76=$E22)+(SCHEDULE!Q$1:Q$76=$F22)+ (SCHEDULE!S$1:S$76=$G22) ),
     ROW(SCHEDULE!AZ$1:AZ$76),
     ""
    ),COUNTIF($H$18:$H22,$H22)
  )
 ),"
Missing")</f>
        <v>Date Range</v>
      </c>
      <c r="V22" s="210" t="str">
        <f t="array" ref="V22">IFERROR(
 INDEX(
  SCHEDULE!$A$1:$A$76,
   SMALL(
   IF(
    (ISNUMBER(SEARCH("A",SCHEDULE!S$1:S$76)))*
   ( (SCHEDULE!R$1:R$76=$B22)+(SCHEDULE!R$1:R$76=$C22)+(SCHEDULE!R$1:R$76=$D22)+(SCHEDULE!R$1:R$76=$E22)+(SCHEDULE!R$1:R$76=$F22)+ (SCHEDULE!T$1:T$76=$G22) ),
     ROW(SCHEDULE!BA$1:BA$76),
     ""
    ),COUNTIF($H$18:$H22,$H22)
  )
 ),"
Missing")</f>
        <v>Chaise Dale</v>
      </c>
      <c r="W22" s="210" t="str">
        <f t="array" ref="W22">IFERROR(
 INDEX(
  SCHEDULE!$A$1:$A$76,
   SMALL(
   IF(
    (ISNUMBER(SEARCH("A",SCHEDULE!T$1:T$76)))*
   ( (SCHEDULE!S$1:S$76=$B22)+(SCHEDULE!S$1:S$76=$C22)+(SCHEDULE!S$1:S$76=$D22)+(SCHEDULE!S$1:S$76=$E22)+(SCHEDULE!S$1:S$76=$F22)+ (SCHEDULE!U$1:U$76=$G22) ),
     ROW(SCHEDULE!BB$1:BB$76),
     ""
    ),COUNTIF($H$18:$H22,$H22)
  )
 ),"
Missing")</f>
        <v>Blaze Chabot</v>
      </c>
      <c r="X22" s="210" t="str">
        <f t="array" ref="X22">IFERROR(
 INDEX(
  SCHEDULE!$A$1:$A$76,
   SMALL(
   IF(
    (ISNUMBER(SEARCH("A",SCHEDULE!U$1:U$76)))*
   ( (SCHEDULE!T$1:T$76=$B22)+(SCHEDULE!T$1:T$76=$C22)+(SCHEDULE!T$1:T$76=$D22)+(SCHEDULE!T$1:T$76=$E22)+(SCHEDULE!T$1:T$76=$F22)+ (SCHEDULE!V$1:V$76=$G22) ),
     ROW(SCHEDULE!BC$1:BC$76),
     ""
    ),COUNTIF($H$18:$H22,$H22)
  )
 ),"
Missing")</f>
        <v>Date Range</v>
      </c>
      <c r="Y22" s="210" t="str">
        <f t="array" ref="Y22">IFERROR(
 INDEX(
  SCHEDULE!$A$1:$A$76,
   SMALL(
   IF(
    (ISNUMBER(SEARCH("A",SCHEDULE!V$1:V$76)))*
   ( (SCHEDULE!U$1:U$76=$B22)+(SCHEDULE!U$1:U$76=$C22)+(SCHEDULE!U$1:U$76=$D22)+(SCHEDULE!U$1:U$76=$E22)+(SCHEDULE!U$1:U$76=$F22)+ (SCHEDULE!W$1:W$76=$G22) ),
     ROW(SCHEDULE!BD$1:BD$76),
     ""
    ),COUNTIF($H$18:$H22,$H22)
  )
 ),"
Missing")</f>
        <v>Chaise Dale</v>
      </c>
      <c r="Z22" s="210" t="str">
        <f t="array" ref="Z22">IFERROR(
 INDEX(
  SCHEDULE!$A$1:$A$76,
   SMALL(
   IF(
    (ISNUMBER(SEARCH("A",SCHEDULE!W$1:W$76)))*
   ( (SCHEDULE!V$1:V$76=$B22)+(SCHEDULE!V$1:V$76=$C22)+(SCHEDULE!V$1:V$76=$D22)+(SCHEDULE!V$1:V$76=$E22)+(SCHEDULE!V$1:V$76=$F22)+ (SCHEDULE!X$1:X$76=$G22) ),
     ROW(SCHEDULE!BE$1:BE$76),
     ""
    ),COUNTIF($H$18:$H22,$H22)
  )
 ),"
Missing")</f>
        <v>Blaze Chabot</v>
      </c>
      <c r="AA22" s="210" t="str">
        <f t="array" ref="AA22">IFERROR(
 INDEX(
  SCHEDULE!$A$1:$A$76,
   SMALL(
   IF(
    (ISNUMBER(SEARCH("A",SCHEDULE!X$1:X$76)))*
   ( (SCHEDULE!W$1:W$76=$B22)+(SCHEDULE!W$1:W$76=$C22)+(SCHEDULE!W$1:W$76=$D22)+(SCHEDULE!W$1:W$76=$E22)+(SCHEDULE!W$1:W$76=$F22)+ (SCHEDULE!Y$1:Y$76=$G22) ),
     ROW(SCHEDULE!BF$1:BF$76),
     ""
    ),COUNTIF($H$18:$H22,$H22)
  )
 ),"
Missing")</f>
        <v>Date Range</v>
      </c>
      <c r="AB22" s="210" t="str">
        <f t="array" ref="AB22">IFERROR(
 INDEX(
  SCHEDULE!$A$1:$A$76,
   SMALL(
   IF(
    (ISNUMBER(SEARCH("A",SCHEDULE!Y$1:Y$76)))*
   ( (SCHEDULE!X$1:X$76=$B22)+(SCHEDULE!X$1:X$76=$C22)+(SCHEDULE!X$1:X$76=$D22)+(SCHEDULE!X$1:X$76=$E22)+(SCHEDULE!X$1:X$76=$F22)+ (SCHEDULE!Z$1:Z$76=$G22) ),
     ROW(SCHEDULE!BG$1:BG$76),
     ""
    ),COUNTIF($H$18:$H22,$H22)
  )
 ),"
Missing")</f>
        <v>DJ Clements</v>
      </c>
      <c r="AC22" s="210" t="str">
        <f t="array" ref="AC22">IFERROR(
 INDEX(
  SCHEDULE!$A$1:$A$76,
   SMALL(
   IF(
    (ISNUMBER(SEARCH("A",SCHEDULE!Z$1:Z$76)))*
   ( (SCHEDULE!Y$1:Y$76=$B22)+(SCHEDULE!Y$1:Y$76=$C22)+(SCHEDULE!Y$1:Y$76=$D22)+(SCHEDULE!Y$1:Y$76=$E22)+(SCHEDULE!Y$1:Y$76=$F22)+ (SCHEDULE!AA$1:AA$76=$G22) ),
     ROW(SCHEDULE!BH$1:BH$76),
     ""
    ),COUNTIF($H$18:$H22,$H22)
  )
 ),"
Missing")</f>
        <v>Blaze Chabot</v>
      </c>
      <c r="AD22" s="210" t="str">
        <f t="array" ref="AD22">IFERROR(
 INDEX(
  SCHEDULE!$A$1:$A$76,
   SMALL(
   IF(
    (ISNUMBER(SEARCH("A",SCHEDULE!AA$1:AA$76)))*
   ( (SCHEDULE!Z$1:Z$76=$B22)+(SCHEDULE!Z$1:Z$76=$C22)+(SCHEDULE!Z$1:Z$76=$D22)+(SCHEDULE!Z$1:Z$76=$E22)+(SCHEDULE!Z$1:Z$76=$F22)+ (SCHEDULE!AB$1:AB$76=$G22) ),
     ROW(SCHEDULE!BI$1:BI$76),
     ""
    ),COUNTIF($H$18:$H22,$H22)
  )
 ),"
Missing")</f>
        <v>Date Range</v>
      </c>
      <c r="AE22" s="210" t="str">
        <f t="array" ref="AE22">IFERROR(
 INDEX(
  SCHEDULE!$A$1:$A$76,
   SMALL(
   IF(
    (ISNUMBER(SEARCH("A",SCHEDULE!AB$1:AB$76)))*
   ( (SCHEDULE!AA$1:AA$76=$B22)+(SCHEDULE!AA$1:AA$76=$C22)+(SCHEDULE!AA$1:AA$76=$D22)+(SCHEDULE!AA$1:AA$76=$E22)+(SCHEDULE!AA$1:AA$76=$F22)+ (SCHEDULE!AC$1:AC$76=$G22) ),
     ROW(SCHEDULE!BJ$1:BJ$76),
     ""
    ),COUNTIF($H$18:$H22,$H22)
  )
 ),"
Missing")</f>
        <v>Ed Baron</v>
      </c>
      <c r="AF22" s="210" t="str">
        <f t="array" ref="AF22">IFERROR(
 INDEX(
  SCHEDULE!$A$1:$A$76,
   SMALL(
   IF(
    (ISNUMBER(SEARCH("A",SCHEDULE!AC$1:AC$76)))*
   ( (SCHEDULE!AB$1:AB$76=$B22)+(SCHEDULE!AB$1:AB$76=$C22)+(SCHEDULE!AB$1:AB$76=$D22)+(SCHEDULE!AB$1:AB$76=$E22)+(SCHEDULE!AB$1:AB$76=$F22)+ (SCHEDULE!AD$1:AD$76=$G22) ),
     ROW(SCHEDULE!BK$1:BK$76),
     ""
    ),COUNTIF($H$18:$H22,$H22)
  )
 ),"
Missing")</f>
        <v xml:space="preserve">
Missing</v>
      </c>
      <c r="AG22" s="210" t="str">
        <f t="array" ref="AG22">IFERROR(
 INDEX(
  SCHEDULE!$A$1:$A$76,
   SMALL(
   IF(
    (ISNUMBER(SEARCH("A",SCHEDULE!AD$1:AD$76)))*
   ( (SCHEDULE!AC$1:AC$76=$B22)+(SCHEDULE!AC$1:AC$76=$C22)+(SCHEDULE!AC$1:AC$76=$D22)+(SCHEDULE!AC$1:AC$76=$E22)+(SCHEDULE!AC$1:AC$76=$F22)+ (SCHEDULE!AE$1:AE$76=$G22) ),
     ROW(SCHEDULE!BL$1:BL$76),
     ""
    ),COUNTIF($H$18:$H22,$H22)
  )
 ),"
Missing")</f>
        <v xml:space="preserve">
Missing</v>
      </c>
      <c r="AH22" s="210" t="str">
        <f t="array" ref="AH22">IFERROR(
 INDEX(
  SCHEDULE!$A$1:$A$76,
   SMALL(
   IF(
    (ISNUMBER(SEARCH("A",SCHEDULE!AE$1:AE$76)))*
   ( (SCHEDULE!AD$1:AD$76=$B22)+(SCHEDULE!AD$1:AD$76=$C22)+(SCHEDULE!AD$1:AD$76=$D22)+(SCHEDULE!AD$1:AD$76=$E22)+(SCHEDULE!AD$1:AD$76=$F22)+ (SCHEDULE!AF$1:AF$76=$G22) ),
     ROW(SCHEDULE!BM$1:BM$76),
     ""
    ),COUNTIF($H$18:$H22,$H22)
  )
 ),"
Missing")</f>
        <v>Date Range</v>
      </c>
      <c r="AI22" s="210" t="str">
        <f t="array" ref="AI22">IFERROR(
 INDEX(
  SCHEDULE!$A$1:$A$76,
   SMALL(
   IF(
    (ISNUMBER(SEARCH("A",SCHEDULE!AF$1:AF$76)))*
   ( (SCHEDULE!AE$1:AE$76=$B22)+(SCHEDULE!AE$1:AE$76=$C22)+(SCHEDULE!AE$1:AE$76=$D22)+(SCHEDULE!AE$1:AE$76=$E22)+(SCHEDULE!AE$1:AE$76=$F22)+ (SCHEDULE!AG$1:AG$76=$G22) ),
     ROW(SCHEDULE!BN$1:BN$76),
     ""
    ),COUNTIF($H$18:$H22,$H22)
  )
 ),"
Missing")</f>
        <v>Challis Gatten</v>
      </c>
      <c r="AJ22" s="210" t="str">
        <f t="array" ref="AJ22">IFERROR(
 INDEX(
  SCHEDULE!$A$1:$A$76,
   SMALL(
   IF(
    (ISNUMBER(SEARCH("A",SCHEDULE!AG$1:AG$76)))*
   ( (SCHEDULE!AF$1:AF$76=$B22)+(SCHEDULE!AF$1:AF$76=$C22)+(SCHEDULE!AF$1:AF$76=$D22)+(SCHEDULE!AF$1:AF$76=$E22)+(SCHEDULE!AF$1:AF$76=$F22)+ (SCHEDULE!AH$1:AH$76=$G22) ),
     ROW(SCHEDULE!BO$1:BO$76),
     ""
    ),COUNTIF($H$18:$H22,$H22)
  )
 ),"
Missing")</f>
        <v xml:space="preserve">
Missing</v>
      </c>
      <c r="AK22" s="210" t="str">
        <f t="array" ref="AK22">IFERROR(
 INDEX(
  SCHEDULE!$A$1:$A$76,
   SMALL(
   IF(
    (ISNUMBER(SEARCH("A",SCHEDULE!AH$1:AH$76)))*
   ( (SCHEDULE!AG$1:AG$76=$B22)+(SCHEDULE!AG$1:AG$76=$C22)+(SCHEDULE!AG$1:AG$76=$D22)+(SCHEDULE!AG$1:AG$76=$E22)+(SCHEDULE!AG$1:AG$76=$F22)+ (SCHEDULE!AI$1:AI$76=$G22) ),
     ROW(SCHEDULE!BP$1:BP$76),
     ""
    ),COUNTIF($H$18:$H22,$H22)
  )
 ),"
Missing")</f>
        <v>Date Range</v>
      </c>
      <c r="AL22" s="210" t="str">
        <f t="array" ref="AL22">IFERROR(
 INDEX(
  SCHEDULE!$A$1:$A$76,
   SMALL(
   IF(
    (ISNUMBER(SEARCH("A",SCHEDULE!AI$1:AI$76)))*
   ( (SCHEDULE!AH$1:AH$76=$B22)+(SCHEDULE!AH$1:AH$76=$C22)+(SCHEDULE!AH$1:AH$76=$D22)+(SCHEDULE!AH$1:AH$76=$E22)+(SCHEDULE!AH$1:AH$76=$F22)+ (SCHEDULE!AJ$1:AJ$76=$G22) ),
     ROW(SCHEDULE!BQ$1:BQ$76),
     ""
    ),COUNTIF($H$18:$H22,$H22)
  )
 ),"
Missing")</f>
        <v>Challis Gatten</v>
      </c>
      <c r="AM22" s="210" t="str">
        <f t="array" ref="AM22">IFERROR(
 INDEX(
  SCHEDULE!$A$1:$A$76,
   SMALL(
   IF(
    (ISNUMBER(SEARCH("A",SCHEDULE!AJ$1:AJ$76)))*
   ( (SCHEDULE!AI$1:AI$76=$B22)+(SCHEDULE!AI$1:AI$76=$C22)+(SCHEDULE!AI$1:AI$76=$D22)+(SCHEDULE!AI$1:AI$76=$E22)+(SCHEDULE!AI$1:AI$76=$F22)+ (SCHEDULE!AK$1:AK$76=$G22) ),
     ROW(SCHEDULE!BR$1:BR$76),
     ""
    ),COUNTIF($H$18:$H22,$H22)
  )
 ),"
Missing")</f>
        <v>Blaze Chabot</v>
      </c>
      <c r="AN22" s="210" t="str">
        <f t="array" ref="AN22">IFERROR(
 INDEX(
  SCHEDULE!$A$1:$A$76,
   SMALL(
   IF(
    (ISNUMBER(SEARCH("A",SCHEDULE!AK$1:AK$76)))*
   ( (SCHEDULE!AJ$1:AJ$76=$B22)+(SCHEDULE!AJ$1:AJ$76=$C22)+(SCHEDULE!AJ$1:AJ$76=$D22)+(SCHEDULE!AJ$1:AJ$76=$E22)+(SCHEDULE!AJ$1:AJ$76=$F22)+ (SCHEDULE!AL$1:AL$76=$G22) ),
     ROW(SCHEDULE!BS$1:BS$76),
     ""
    ),COUNTIF($H$18:$H22,$H22)
  )
 ),"
Missing")</f>
        <v>Date Range</v>
      </c>
      <c r="AO22" s="210" t="str">
        <f t="array" ref="AO22">IFERROR(
 INDEX(
  SCHEDULE!$A$1:$A$76,
   SMALL(
   IF(
    (ISNUMBER(SEARCH("A",SCHEDULE!AL$1:AL$76)))*
   ( (SCHEDULE!AK$1:AK$76=$B22)+(SCHEDULE!AK$1:AK$76=$C22)+(SCHEDULE!AK$1:AK$76=$D22)+(SCHEDULE!AK$1:AK$76=$E22)+(SCHEDULE!AK$1:AK$76=$F22)+ (SCHEDULE!AM$1:AM$76=$G22) ),
     ROW(SCHEDULE!BT$1:BT$76),
     ""
    ),COUNTIF($H$18:$H22,$H22)
  )
 ),"
Missing")</f>
        <v>Challis Gatten</v>
      </c>
      <c r="AP22" s="210" t="str">
        <f t="array" ref="AP22">IFERROR(
 INDEX(
  SCHEDULE!$A$1:$A$76,
   SMALL(
   IF(
    (ISNUMBER(SEARCH("A",SCHEDULE!AM$1:AM$76)))*
   ( (SCHEDULE!AL$1:AL$76=$B22)+(SCHEDULE!AL$1:AL$76=$C22)+(SCHEDULE!AL$1:AL$76=$D22)+(SCHEDULE!AL$1:AL$76=$E22)+(SCHEDULE!AL$1:AL$76=$F22)+ (SCHEDULE!AN$1:AN$76=$G22) ),
     ROW(SCHEDULE!BU$1:BU$76),
     ""
    ),COUNTIF($H$18:$H22,$H22)
  )
 ),"
Missing")</f>
        <v>Blaze Chabot</v>
      </c>
      <c r="AQ22" s="210" t="str">
        <f t="array" ref="AQ22">IFERROR(
 INDEX(
  SCHEDULE!$A$1:$A$76,
   SMALL(
   IF(
    (ISNUMBER(SEARCH("A",SCHEDULE!AN$1:AN$76)))*
   ( (SCHEDULE!AM$1:AM$76=$B22)+(SCHEDULE!AM$1:AM$76=$C22)+(SCHEDULE!AM$1:AM$76=$D22)+(SCHEDULE!AM$1:AM$76=$E22)+(SCHEDULE!AM$1:AM$76=$F22)+ (SCHEDULE!AO$1:AO$76=$G22) ),
     ROW(SCHEDULE!BV$1:BV$76),
     ""
    ),COUNTIF($H$18:$H22,$H22)
  )
 ),"
Missing")</f>
        <v>Date Range</v>
      </c>
      <c r="AR22" s="210" t="str">
        <f t="array" ref="AR22">IFERROR(
 INDEX(
  SCHEDULE!$A$1:$A$76,
   SMALL(
   IF(
    (ISNUMBER(SEARCH("A",SCHEDULE!AO$1:AO$76)))*
   ( (SCHEDULE!AN$1:AN$76=$B22)+(SCHEDULE!AN$1:AN$76=$C22)+(SCHEDULE!AN$1:AN$76=$D22)+(SCHEDULE!AN$1:AN$76=$E22)+(SCHEDULE!AN$1:AN$76=$F22)+ (SCHEDULE!AP$1:AP$76=$G22) ),
     ROW(SCHEDULE!BW$1:BW$76),
     ""
    ),COUNTIF($H$18:$H22,$H22)
  )
 ),"
Missing")</f>
        <v>Challis Gatten</v>
      </c>
      <c r="AS22" s="210" t="str">
        <f t="array" ref="AS22">IFERROR(
 INDEX(
  SCHEDULE!$A$1:$A$76,
   SMALL(
   IF(
    (ISNUMBER(SEARCH("A",SCHEDULE!AP$1:AP$76)))*
   ( (SCHEDULE!AO$1:AO$76=$B22)+(SCHEDULE!AO$1:AO$76=$C22)+(SCHEDULE!AO$1:AO$76=$D22)+(SCHEDULE!AO$1:AO$76=$E22)+(SCHEDULE!AO$1:AO$76=$F22)+ (SCHEDULE!AQ$1:AQ$76=$G22) ),
     ROW(SCHEDULE!BX$1:BX$76),
     ""
    ),COUNTIF($H$18:$H22,$H22)
  )
 ),"
Missing")</f>
        <v>Blaze Chabot</v>
      </c>
      <c r="AT22" s="210" t="str">
        <f t="array" ref="AT22">IFERROR(
 INDEX(
  SCHEDULE!$A$1:$A$76,
   SMALL(
   IF(
    (ISNUMBER(SEARCH("A",SCHEDULE!AQ$1:AQ$76)))*
   ( (SCHEDULE!AP$1:AP$76=$B22)+(SCHEDULE!AP$1:AP$76=$C22)+(SCHEDULE!AP$1:AP$76=$D22)+(SCHEDULE!AP$1:AP$76=$E22)+(SCHEDULE!AP$1:AP$76=$F22)+ (SCHEDULE!AR$1:AR$76=$G22) ),
     ROW(SCHEDULE!BY$1:BY$76),
     ""
    ),COUNTIF($H$18:$H22,$H22)
  )
 ),"
Missing")</f>
        <v>Date Range</v>
      </c>
      <c r="AU22" s="210" t="str">
        <f t="array" ref="AU22">IFERROR(
 INDEX(
  SCHEDULE!$A$1:$A$76,
   SMALL(
   IF(
    (ISNUMBER(SEARCH("A",SCHEDULE!AR$1:AR$76)))*
   ( (SCHEDULE!AQ$1:AQ$76=$B22)+(SCHEDULE!AQ$1:AQ$76=$C22)+(SCHEDULE!AQ$1:AQ$76=$D22)+(SCHEDULE!AQ$1:AQ$76=$E22)+(SCHEDULE!AQ$1:AQ$76=$F22)+ (SCHEDULE!AS$1:AS$76=$G22) ),
     ROW(SCHEDULE!BZ$1:BZ$76),
     ""
    ),COUNTIF($H$18:$H22,$H22)
  )
 ),"
Missing")</f>
        <v>Challis Gatten</v>
      </c>
      <c r="AV22" s="210" t="str">
        <f t="array" ref="AV22">IFERROR(
 INDEX(
  SCHEDULE!$A$1:$A$76,
   SMALL(
   IF(
    (ISNUMBER(SEARCH("A",SCHEDULE!AS$1:AS$76)))*
   ( (SCHEDULE!AR$1:AR$76=$B22)+(SCHEDULE!AR$1:AR$76=$C22)+(SCHEDULE!AR$1:AR$76=$D22)+(SCHEDULE!AR$1:AR$76=$E22)+(SCHEDULE!AR$1:AR$76=$F22)+ (SCHEDULE!AT$1:AT$76=$G22) ),
     ROW(SCHEDULE!CA$1:CA$76),
     ""
    ),COUNTIF($H$18:$H22,$H22)
  )
 ),"
Missing")</f>
        <v xml:space="preserve">
Missing</v>
      </c>
      <c r="AW22" s="210" t="str">
        <f t="array" ref="AW22">IFERROR(
 INDEX(
  SCHEDULE!$A$1:$A$76,
   SMALL(
   IF(
    (ISNUMBER(SEARCH("A",SCHEDULE!AT$1:AT$76)))*
   ( (SCHEDULE!AS$1:AS$76=$B22)+(SCHEDULE!AS$1:AS$76=$C22)+(SCHEDULE!AS$1:AS$76=$D22)+(SCHEDULE!AS$1:AS$76=$E22)+(SCHEDULE!AS$1:AS$76=$F22)+ (SCHEDULE!AU$1:AU$76=$G22) ),
     ROW(SCHEDULE!CB$1:CB$76),
     ""
    ),COUNTIF($H$18:$H22,$H22)
  )
 ),"
Missing")</f>
        <v>Date Range</v>
      </c>
      <c r="AX22" s="210" t="str">
        <f t="array" ref="AX22">IFERROR(
 INDEX(
  SCHEDULE!$A$1:$A$76,
   SMALL(
   IF(
    (ISNUMBER(SEARCH("A",SCHEDULE!AU$1:AU$76)))*
   ( (SCHEDULE!AT$1:AT$76=$B22)+(SCHEDULE!AT$1:AT$76=$C22)+(SCHEDULE!AT$1:AT$76=$D22)+(SCHEDULE!AT$1:AT$76=$E22)+(SCHEDULE!AT$1:AT$76=$F22)+ (SCHEDULE!AV$1:AV$76=$G22) ),
     ROW(SCHEDULE!CC$1:CC$76),
     ""
    ),COUNTIF($H$18:$H22,$H22)
  )
 ),"
Missing")</f>
        <v>DJ Clements</v>
      </c>
      <c r="AY22" s="210" t="str">
        <f t="array" ref="AY22">IFERROR(
 INDEX(
  SCHEDULE!$A$1:$A$76,
   SMALL(
   IF(
    (ISNUMBER(SEARCH("A",SCHEDULE!AV$1:AV$76)))*
   ( (SCHEDULE!AU$1:AU$76=$B22)+(SCHEDULE!AU$1:AU$76=$C22)+(SCHEDULE!AU$1:AU$76=$D22)+(SCHEDULE!AU$1:AU$76=$E22)+(SCHEDULE!AU$1:AU$76=$F22)+ (SCHEDULE!AW$1:AW$76=$G22) ),
     ROW(SCHEDULE!CD$1:CD$76),
     ""
    ),COUNTIF($H$18:$H22,$H22)
  )
 ),"
Missing")</f>
        <v xml:space="preserve">
Missing</v>
      </c>
      <c r="AZ22" s="210" t="str">
        <f t="array" ref="AZ22">IFERROR(
 INDEX(
  SCHEDULE!$A$1:$A$76,
   SMALL(
   IF(
    (ISNUMBER(SEARCH("A",SCHEDULE!AW$1:AW$76)))*
   ( (SCHEDULE!AV$1:AV$76=$B22)+(SCHEDULE!AV$1:AV$76=$C22)+(SCHEDULE!AV$1:AV$76=$D22)+(SCHEDULE!AV$1:AV$76=$E22)+(SCHEDULE!AV$1:AV$76=$F22)+ (SCHEDULE!AX$1:AX$76=$G22) ),
     ROW(SCHEDULE!CE$1:CE$76),
     ""
    ),COUNTIF($H$18:$H22,$H22)
  )
 ),"
Missing")</f>
        <v>Date Range</v>
      </c>
      <c r="BA22" s="210" t="str">
        <f t="array" ref="BA22">IFERROR(
 INDEX(
  SCHEDULE!$A$1:$A$76,
   SMALL(
   IF(
    (ISNUMBER(SEARCH("A",SCHEDULE!AX$1:AX$76)))*
   ( (SCHEDULE!AW$1:AW$76=$B22)+(SCHEDULE!AW$1:AW$76=$C22)+(SCHEDULE!AW$1:AW$76=$D22)+(SCHEDULE!AW$1:AW$76=$E22)+(SCHEDULE!AW$1:AW$76=$F22)+ (SCHEDULE!AY$1:AY$76=$G22) ),
     ROW(SCHEDULE!CF$1:CF$76),
     ""
    ),COUNTIF($H$18:$H22,$H22)
  )
 ),"
Missing")</f>
        <v>Ed Baron</v>
      </c>
      <c r="BB22" s="210" t="str">
        <f t="array" ref="BB22">IFERROR(
 INDEX(
  SCHEDULE!$A$1:$A$76,
   SMALL(
   IF(
    (ISNUMBER(SEARCH("A",SCHEDULE!AY$1:AY$76)))*
   ( (SCHEDULE!AX$1:AX$76=$B22)+(SCHEDULE!AX$1:AX$76=$C22)+(SCHEDULE!AX$1:AX$76=$D22)+(SCHEDULE!AX$1:AX$76=$E22)+(SCHEDULE!AX$1:AX$76=$F22)+ (SCHEDULE!AZ$1:AZ$76=$G22) ),
     ROW(SCHEDULE!CG$1:CG$76),
     ""
    ),COUNTIF($H$18:$H22,$H22)
  )
 ),"
Missing")</f>
        <v xml:space="preserve">
Missing</v>
      </c>
      <c r="BC22" s="210" t="str">
        <f t="array" ref="BC22">IFERROR(
 INDEX(
  SCHEDULE!$A$1:$A$76,
   SMALL(
   IF(
    (ISNUMBER(SEARCH("A",SCHEDULE!AZ$1:AZ$76)))*
   ( (SCHEDULE!AY$1:AY$76=$B22)+(SCHEDULE!AY$1:AY$76=$C22)+(SCHEDULE!AY$1:AY$76=$D22)+(SCHEDULE!AY$1:AY$76=$E22)+(SCHEDULE!AY$1:AY$76=$F22)+ (SCHEDULE!BA$1:BA$76=$G22) ),
     ROW(SCHEDULE!CH$1:CH$76),
     ""
    ),COUNTIF($H$18:$H22,$H22)
  )
 ),"
Missing")</f>
        <v xml:space="preserve">
Missing</v>
      </c>
      <c r="BD22" s="210" t="str">
        <f t="array" ref="BD22">IFERROR(
 INDEX(
  SCHEDULE!$A$1:$A$76,
   SMALL(
   IF(
    (ISNUMBER(SEARCH("A",SCHEDULE!BA$1:BA$76)))*
   ( (SCHEDULE!AZ$1:AZ$76=$B22)+(SCHEDULE!AZ$1:AZ$76=$C22)+(SCHEDULE!AZ$1:AZ$76=$D22)+(SCHEDULE!AZ$1:AZ$76=$E22)+(SCHEDULE!AZ$1:AZ$76=$F22)+ (SCHEDULE!BB$1:BB$76=$G22) ),
     ROW(SCHEDULE!CI$1:CI$76),
     ""
    ),COUNTIF($H$18:$H22,$H22)
  )
 ),"
Missing")</f>
        <v>Date Range</v>
      </c>
      <c r="BE22" s="210" t="str">
        <f t="array" ref="BE22">IFERROR(
 INDEX(
  SCHEDULE!$A$1:$A$76,
   SMALL(
   IF(
    (ISNUMBER(SEARCH("A",SCHEDULE!BB$1:BB$76)))*
   ( (SCHEDULE!BA$1:BA$76=$B22)+(SCHEDULE!BA$1:BA$76=$C22)+(SCHEDULE!BA$1:BA$76=$D22)+(SCHEDULE!BA$1:BA$76=$E22)+(SCHEDULE!BA$1:BA$76=$F22)+ (SCHEDULE!BC$1:BC$76=$G22) ),
     ROW(SCHEDULE!CJ$1:CJ$76),
     ""
    ),COUNTIF($H$18:$H22,$H22)
  )
 ),"
Missing")</f>
        <v>Challis Gatten</v>
      </c>
    </row>
    <row r="23" spans="2:57" x14ac:dyDescent="0.2">
      <c r="B23" s="206">
        <v>0.58333333333333337</v>
      </c>
      <c r="C23" s="206" t="s">
        <v>89</v>
      </c>
      <c r="D23" s="206">
        <v>0.5</v>
      </c>
      <c r="E23" s="206">
        <v>0.54166666666666663</v>
      </c>
      <c r="F23" s="206"/>
      <c r="G23" s="206" t="s">
        <v>86</v>
      </c>
      <c r="H23" s="207" t="s">
        <v>104</v>
      </c>
      <c r="I23" s="210" t="str">
        <f t="array" ref="I23">IFERROR(
 INDEX(
  SCHEDULE!$A$1:$A$76,
   SMALL(
   IF(
    (ISNUMBER(SEARCH("A",SCHEDULE!F$1:F$76)))*
   ( (SCHEDULE!E$1:E$76=$B23)+(SCHEDULE!E$1:E$76=$C23)+(SCHEDULE!E$1:E$76=$D23)+(SCHEDULE!E$1:E$76=$E23)+(SCHEDULE!E$1:E$76=$F23)+ (SCHEDULE!G$1:G$76=$G23) ),
     ROW(SCHEDULE!AN$1:AN$76),
     ""
    ),COUNTIF($H$18:$H23,$H23)
  )
 ),"
Missing")</f>
        <v>Westly Smyth</v>
      </c>
      <c r="J23" s="210" t="str">
        <f t="array" ref="J23">IFERROR(
 INDEX(
  SCHEDULE!$A$1:$A$76,
   SMALL(
   IF(
    (ISNUMBER(SEARCH("A",SCHEDULE!G$1:G$76)))*
   ( (SCHEDULE!F$1:F$76=$B23)+(SCHEDULE!F$1:F$76=$C23)+(SCHEDULE!F$1:F$76=$D23)+(SCHEDULE!F$1:F$76=$E23)+(SCHEDULE!F$1:F$76=$F23)+ (SCHEDULE!H$1:H$76=$G23) ),
     ROW(SCHEDULE!AO$1:AO$76),
     ""
    ),COUNTIF($H$18:$H23,$H23)
  )
 ),"
Missing")</f>
        <v xml:space="preserve">
Missing</v>
      </c>
      <c r="K23" s="210" t="str">
        <f t="array" ref="K23">IFERROR(
 INDEX(
  SCHEDULE!$A$1:$A$76,
   SMALL(
   IF(
    (ISNUMBER(SEARCH("A",SCHEDULE!H$1:H$76)))*
   ( (SCHEDULE!G$1:G$76=$B23)+(SCHEDULE!G$1:G$76=$C23)+(SCHEDULE!G$1:G$76=$D23)+(SCHEDULE!G$1:G$76=$E23)+(SCHEDULE!G$1:G$76=$F23)+ (SCHEDULE!I$1:I$76=$G23) ),
     ROW(SCHEDULE!AP$1:AP$76),
     ""
    ),COUNTIF($H$18:$H23,$H23)
  )
 ),"
Missing")</f>
        <v xml:space="preserve">
Missing</v>
      </c>
      <c r="L23" s="210" t="str">
        <f t="array" ref="L23">IFERROR(
 INDEX(
  SCHEDULE!$A$1:$A$76,
   SMALL(
   IF(
    (ISNUMBER(SEARCH("A",SCHEDULE!I$1:I$76)))*
   ( (SCHEDULE!H$1:H$76=$B23)+(SCHEDULE!H$1:H$76=$C23)+(SCHEDULE!H$1:H$76=$D23)+(SCHEDULE!H$1:H$76=$E23)+(SCHEDULE!H$1:H$76=$F23)+ (SCHEDULE!J$1:J$76=$G23) ),
     ROW(SCHEDULE!AQ$1:AQ$76),
     ""
    ),COUNTIF($H$18:$H23,$H23)
  )
 ),"
Missing")</f>
        <v>Agent</v>
      </c>
      <c r="M23" s="210" t="str">
        <f t="array" ref="M23">IFERROR(
 INDEX(
  SCHEDULE!$A$1:$A$76,
   SMALL(
   IF(
    (ISNUMBER(SEARCH("A",SCHEDULE!J$1:J$76)))*
   ( (SCHEDULE!I$1:I$76=$B23)+(SCHEDULE!I$1:I$76=$C23)+(SCHEDULE!I$1:I$76=$D23)+(SCHEDULE!I$1:I$76=$E23)+(SCHEDULE!I$1:I$76=$F23)+ (SCHEDULE!K$1:K$76=$G23) ),
     ROW(SCHEDULE!AR$1:AR$76),
     ""
    ),COUNTIF($H$18:$H23,$H23)
  )
 ),"
Missing")</f>
        <v>Tyler Faile</v>
      </c>
      <c r="N23" s="210" t="str">
        <f t="array" ref="N23">IFERROR(
 INDEX(
  SCHEDULE!$A$1:$A$76,
   SMALL(
   IF(
    (ISNUMBER(SEARCH("A",SCHEDULE!K$1:K$76)))*
   ( (SCHEDULE!J$1:J$76=$B23)+(SCHEDULE!J$1:J$76=$C23)+(SCHEDULE!J$1:J$76=$D23)+(SCHEDULE!J$1:J$76=$E23)+(SCHEDULE!J$1:J$76=$F23)+ (SCHEDULE!L$1:L$76=$G23) ),
     ROW(SCHEDULE!AS$1:AS$76),
     ""
    ),COUNTIF($H$18:$H23,$H23)
  )
 ),"
Missing")</f>
        <v xml:space="preserve">
Missing</v>
      </c>
      <c r="O23" s="210" t="str">
        <f t="array" ref="O23">IFERROR(
 INDEX(
  SCHEDULE!$A$1:$A$76,
   SMALL(
   IF(
    (ISNUMBER(SEARCH("A",SCHEDULE!L$1:L$76)))*
   ( (SCHEDULE!K$1:K$76=$B23)+(SCHEDULE!K$1:K$76=$C23)+(SCHEDULE!K$1:K$76=$D23)+(SCHEDULE!K$1:K$76=$E23)+(SCHEDULE!K$1:K$76=$F23)+ (SCHEDULE!M$1:M$76=$G23) ),
     ROW(SCHEDULE!AT$1:AT$76),
     ""
    ),COUNTIF($H$18:$H23,$H23)
  )
 ),"
Missing")</f>
        <v>Blaze Chabot</v>
      </c>
      <c r="P23" s="210" t="str">
        <f t="array" ref="P23">IFERROR(
 INDEX(
  SCHEDULE!$A$1:$A$76,
   SMALL(
   IF(
    (ISNUMBER(SEARCH("A",SCHEDULE!M$1:M$76)))*
   ( (SCHEDULE!L$1:L$76=$B23)+(SCHEDULE!L$1:L$76=$C23)+(SCHEDULE!L$1:L$76=$D23)+(SCHEDULE!L$1:L$76=$E23)+(SCHEDULE!L$1:L$76=$F23)+ (SCHEDULE!N$1:N$76=$G23) ),
     ROW(SCHEDULE!AU$1:AU$76),
     ""
    ),COUNTIF($H$18:$H23,$H23)
  )
 ),"
Missing")</f>
        <v>DJ Clements</v>
      </c>
      <c r="Q23" s="210" t="str">
        <f t="array" ref="Q23">IFERROR(
 INDEX(
  SCHEDULE!$A$1:$A$76,
   SMALL(
   IF(
    (ISNUMBER(SEARCH("A",SCHEDULE!N$1:N$76)))*
   ( (SCHEDULE!M$1:M$76=$B23)+(SCHEDULE!M$1:M$76=$C23)+(SCHEDULE!M$1:M$76=$D23)+(SCHEDULE!M$1:M$76=$E23)+(SCHEDULE!M$1:M$76=$F23)+ (SCHEDULE!O$1:O$76=$G23) ),
     ROW(SCHEDULE!AV$1:AV$76),
     ""
    ),COUNTIF($H$18:$H23,$H23)
  )
 ),"
Missing")</f>
        <v>Cameron Wood</v>
      </c>
      <c r="R23" s="210" t="str">
        <f t="array" ref="R23">IFERROR(
 INDEX(
  SCHEDULE!$A$1:$A$76,
   SMALL(
   IF(
    (ISNUMBER(SEARCH("A",SCHEDULE!O$1:O$76)))*
   ( (SCHEDULE!N$1:N$76=$B23)+(SCHEDULE!N$1:N$76=$C23)+(SCHEDULE!N$1:N$76=$D23)+(SCHEDULE!N$1:N$76=$E23)+(SCHEDULE!N$1:N$76=$F23)+ (SCHEDULE!P$1:P$76=$G23) ),
     ROW(SCHEDULE!AW$1:AW$76),
     ""
    ),COUNTIF($H$18:$H23,$H23)
  )
 ),"
Missing")</f>
        <v xml:space="preserve">
Missing</v>
      </c>
      <c r="S23" s="210" t="str">
        <f t="array" ref="S23">IFERROR(
 INDEX(
  SCHEDULE!$A$1:$A$76,
   SMALL(
   IF(
    (ISNUMBER(SEARCH("A",SCHEDULE!P$1:P$76)))*
   ( (SCHEDULE!O$1:O$76=$B23)+(SCHEDULE!O$1:O$76=$C23)+(SCHEDULE!O$1:O$76=$D23)+(SCHEDULE!O$1:O$76=$E23)+(SCHEDULE!O$1:O$76=$F23)+ (SCHEDULE!Q$1:Q$76=$G23) ),
     ROW(SCHEDULE!AX$1:AX$76),
     ""
    ),COUNTIF($H$18:$H23,$H23)
  )
 ),"
Missing")</f>
        <v>DJ Clements</v>
      </c>
      <c r="T23" s="210" t="str">
        <f t="array" ref="T23">IFERROR(
 INDEX(
  SCHEDULE!$A$1:$A$76,
   SMALL(
   IF(
    (ISNUMBER(SEARCH("A",SCHEDULE!Q$1:Q$76)))*
   ( (SCHEDULE!P$1:P$76=$B23)+(SCHEDULE!P$1:P$76=$C23)+(SCHEDULE!P$1:P$76=$D23)+(SCHEDULE!P$1:P$76=$E23)+(SCHEDULE!P$1:P$76=$F23)+ (SCHEDULE!R$1:R$76=$G23) ),
     ROW(SCHEDULE!AY$1:AY$76),
     ""
    ),COUNTIF($H$18:$H23,$H23)
  )
 ),"
Missing")</f>
        <v>Cameron Wood</v>
      </c>
      <c r="U23" s="210" t="str">
        <f t="array" ref="U23">IFERROR(
 INDEX(
  SCHEDULE!$A$1:$A$76,
   SMALL(
   IF(
    (ISNUMBER(SEARCH("A",SCHEDULE!R$1:R$76)))*
   ( (SCHEDULE!Q$1:Q$76=$B23)+(SCHEDULE!Q$1:Q$76=$C23)+(SCHEDULE!Q$1:Q$76=$D23)+(SCHEDULE!Q$1:Q$76=$E23)+(SCHEDULE!Q$1:Q$76=$F23)+ (SCHEDULE!S$1:S$76=$G23) ),
     ROW(SCHEDULE!AZ$1:AZ$76),
     ""
    ),COUNTIF($H$18:$H23,$H23)
  )
 ),"
Missing")</f>
        <v xml:space="preserve">
Missing</v>
      </c>
      <c r="V23" s="210" t="str">
        <f t="array" ref="V23">IFERROR(
 INDEX(
  SCHEDULE!$A$1:$A$76,
   SMALL(
   IF(
    (ISNUMBER(SEARCH("A",SCHEDULE!S$1:S$76)))*
   ( (SCHEDULE!R$1:R$76=$B23)+(SCHEDULE!R$1:R$76=$C23)+(SCHEDULE!R$1:R$76=$D23)+(SCHEDULE!R$1:R$76=$E23)+(SCHEDULE!R$1:R$76=$F23)+ (SCHEDULE!T$1:T$76=$G23) ),
     ROW(SCHEDULE!BA$1:BA$76),
     ""
    ),COUNTIF($H$18:$H23,$H23)
  )
 ),"
Missing")</f>
        <v>Challis Gatten</v>
      </c>
      <c r="W23" s="210" t="str">
        <f t="array" ref="W23">IFERROR(
 INDEX(
  SCHEDULE!$A$1:$A$76,
   SMALL(
   IF(
    (ISNUMBER(SEARCH("A",SCHEDULE!T$1:T$76)))*
   ( (SCHEDULE!S$1:S$76=$B23)+(SCHEDULE!S$1:S$76=$C23)+(SCHEDULE!S$1:S$76=$D23)+(SCHEDULE!S$1:S$76=$E23)+(SCHEDULE!S$1:S$76=$F23)+ (SCHEDULE!U$1:U$76=$G23) ),
     ROW(SCHEDULE!BB$1:BB$76),
     ""
    ),COUNTIF($H$18:$H23,$H23)
  )
 ),"
Missing")</f>
        <v>Cameron Wood</v>
      </c>
      <c r="X23" s="210" t="str">
        <f t="array" ref="X23">IFERROR(
 INDEX(
  SCHEDULE!$A$1:$A$76,
   SMALL(
   IF(
    (ISNUMBER(SEARCH("A",SCHEDULE!U$1:U$76)))*
   ( (SCHEDULE!T$1:T$76=$B23)+(SCHEDULE!T$1:T$76=$C23)+(SCHEDULE!T$1:T$76=$D23)+(SCHEDULE!T$1:T$76=$E23)+(SCHEDULE!T$1:T$76=$F23)+ (SCHEDULE!V$1:V$76=$G23) ),
     ROW(SCHEDULE!BC$1:BC$76),
     ""
    ),COUNTIF($H$18:$H23,$H23)
  )
 ),"
Missing")</f>
        <v xml:space="preserve">
Missing</v>
      </c>
      <c r="Y23" s="210" t="str">
        <f t="array" ref="Y23">IFERROR(
 INDEX(
  SCHEDULE!$A$1:$A$76,
   SMALL(
   IF(
    (ISNUMBER(SEARCH("A",SCHEDULE!V$1:V$76)))*
   ( (SCHEDULE!U$1:U$76=$B23)+(SCHEDULE!U$1:U$76=$C23)+(SCHEDULE!U$1:U$76=$D23)+(SCHEDULE!U$1:U$76=$E23)+(SCHEDULE!U$1:U$76=$F23)+ (SCHEDULE!W$1:W$76=$G23) ),
     ROW(SCHEDULE!BD$1:BD$76),
     ""
    ),COUNTIF($H$18:$H23,$H23)
  )
 ),"
Missing")</f>
        <v>Challis Gatten</v>
      </c>
      <c r="Z23" s="210" t="str">
        <f t="array" ref="Z23">IFERROR(
 INDEX(
  SCHEDULE!$A$1:$A$76,
   SMALL(
   IF(
    (ISNUMBER(SEARCH("A",SCHEDULE!W$1:W$76)))*
   ( (SCHEDULE!V$1:V$76=$B23)+(SCHEDULE!V$1:V$76=$C23)+(SCHEDULE!V$1:V$76=$D23)+(SCHEDULE!V$1:V$76=$E23)+(SCHEDULE!V$1:V$76=$F23)+ (SCHEDULE!X$1:X$76=$G23) ),
     ROW(SCHEDULE!BE$1:BE$76),
     ""
    ),COUNTIF($H$18:$H23,$H23)
  )
 ),"
Missing")</f>
        <v>Cameron Wood</v>
      </c>
      <c r="AA23" s="210" t="str">
        <f t="array" ref="AA23">IFERROR(
 INDEX(
  SCHEDULE!$A$1:$A$76,
   SMALL(
   IF(
    (ISNUMBER(SEARCH("A",SCHEDULE!X$1:X$76)))*
   ( (SCHEDULE!W$1:W$76=$B23)+(SCHEDULE!W$1:W$76=$C23)+(SCHEDULE!W$1:W$76=$D23)+(SCHEDULE!W$1:W$76=$E23)+(SCHEDULE!W$1:W$76=$F23)+ (SCHEDULE!Y$1:Y$76=$G23) ),
     ROW(SCHEDULE!BF$1:BF$76),
     ""
    ),COUNTIF($H$18:$H23,$H23)
  )
 ),"
Missing")</f>
        <v xml:space="preserve">
Missing</v>
      </c>
      <c r="AB23" s="210" t="str">
        <f t="array" ref="AB23">IFERROR(
 INDEX(
  SCHEDULE!$A$1:$A$76,
   SMALL(
   IF(
    (ISNUMBER(SEARCH("A",SCHEDULE!Y$1:Y$76)))*
   ( (SCHEDULE!X$1:X$76=$B23)+(SCHEDULE!X$1:X$76=$C23)+(SCHEDULE!X$1:X$76=$D23)+(SCHEDULE!X$1:X$76=$E23)+(SCHEDULE!X$1:X$76=$F23)+ (SCHEDULE!Z$1:Z$76=$G23) ),
     ROW(SCHEDULE!BG$1:BG$76),
     ""
    ),COUNTIF($H$18:$H23,$H23)
  )
 ),"
Missing")</f>
        <v>Paul Soares</v>
      </c>
      <c r="AC23" s="210" t="str">
        <f t="array" ref="AC23">IFERROR(
 INDEX(
  SCHEDULE!$A$1:$A$76,
   SMALL(
   IF(
    (ISNUMBER(SEARCH("A",SCHEDULE!Z$1:Z$76)))*
   ( (SCHEDULE!Y$1:Y$76=$B23)+(SCHEDULE!Y$1:Y$76=$C23)+(SCHEDULE!Y$1:Y$76=$D23)+(SCHEDULE!Y$1:Y$76=$E23)+(SCHEDULE!Y$1:Y$76=$F23)+ (SCHEDULE!AA$1:AA$76=$G23) ),
     ROW(SCHEDULE!BH$1:BH$76),
     ""
    ),COUNTIF($H$18:$H23,$H23)
  )
 ),"
Missing")</f>
        <v>Cameron Wood</v>
      </c>
      <c r="AD23" s="210" t="str">
        <f t="array" ref="AD23">IFERROR(
 INDEX(
  SCHEDULE!$A$1:$A$76,
   SMALL(
   IF(
    (ISNUMBER(SEARCH("A",SCHEDULE!AA$1:AA$76)))*
   ( (SCHEDULE!Z$1:Z$76=$B23)+(SCHEDULE!Z$1:Z$76=$C23)+(SCHEDULE!Z$1:Z$76=$D23)+(SCHEDULE!Z$1:Z$76=$E23)+(SCHEDULE!Z$1:Z$76=$F23)+ (SCHEDULE!AB$1:AB$76=$G23) ),
     ROW(SCHEDULE!BI$1:BI$76),
     ""
    ),COUNTIF($H$18:$H23,$H23)
  )
 ),"
Missing")</f>
        <v xml:space="preserve">
Missing</v>
      </c>
      <c r="AE23" s="210" t="str">
        <f t="array" ref="AE23">IFERROR(
 INDEX(
  SCHEDULE!$A$1:$A$76,
   SMALL(
   IF(
    (ISNUMBER(SEARCH("A",SCHEDULE!AB$1:AB$76)))*
   ( (SCHEDULE!AA$1:AA$76=$B23)+(SCHEDULE!AA$1:AA$76=$C23)+(SCHEDULE!AA$1:AA$76=$D23)+(SCHEDULE!AA$1:AA$76=$E23)+(SCHEDULE!AA$1:AA$76=$F23)+ (SCHEDULE!AC$1:AC$76=$G23) ),
     ROW(SCHEDULE!BJ$1:BJ$76),
     ""
    ),COUNTIF($H$18:$H23,$H23)
  )
 ),"
Missing")</f>
        <v>Paul Soares</v>
      </c>
      <c r="AF23" s="210" t="str">
        <f t="array" ref="AF23">IFERROR(
 INDEX(
  SCHEDULE!$A$1:$A$76,
   SMALL(
   IF(
    (ISNUMBER(SEARCH("A",SCHEDULE!AC$1:AC$76)))*
   ( (SCHEDULE!AB$1:AB$76=$B23)+(SCHEDULE!AB$1:AB$76=$C23)+(SCHEDULE!AB$1:AB$76=$D23)+(SCHEDULE!AB$1:AB$76=$E23)+(SCHEDULE!AB$1:AB$76=$F23)+ (SCHEDULE!AD$1:AD$76=$G23) ),
     ROW(SCHEDULE!BK$1:BK$76),
     ""
    ),COUNTIF($H$18:$H23,$H23)
  )
 ),"
Missing")</f>
        <v xml:space="preserve">
Missing</v>
      </c>
      <c r="AG23" s="210" t="str">
        <f t="array" ref="AG23">IFERROR(
 INDEX(
  SCHEDULE!$A$1:$A$76,
   SMALL(
   IF(
    (ISNUMBER(SEARCH("A",SCHEDULE!AD$1:AD$76)))*
   ( (SCHEDULE!AC$1:AC$76=$B23)+(SCHEDULE!AC$1:AC$76=$C23)+(SCHEDULE!AC$1:AC$76=$D23)+(SCHEDULE!AC$1:AC$76=$E23)+(SCHEDULE!AC$1:AC$76=$F23)+ (SCHEDULE!AE$1:AE$76=$G23) ),
     ROW(SCHEDULE!BL$1:BL$76),
     ""
    ),COUNTIF($H$18:$H23,$H23)
  )
 ),"
Missing")</f>
        <v xml:space="preserve">
Missing</v>
      </c>
      <c r="AH23" s="210" t="str">
        <f t="array" ref="AH23">IFERROR(
 INDEX(
  SCHEDULE!$A$1:$A$76,
   SMALL(
   IF(
    (ISNUMBER(SEARCH("A",SCHEDULE!AE$1:AE$76)))*
   ( (SCHEDULE!AD$1:AD$76=$B23)+(SCHEDULE!AD$1:AD$76=$C23)+(SCHEDULE!AD$1:AD$76=$D23)+(SCHEDULE!AD$1:AD$76=$E23)+(SCHEDULE!AD$1:AD$76=$F23)+ (SCHEDULE!AF$1:AF$76=$G23) ),
     ROW(SCHEDULE!BM$1:BM$76),
     ""
    ),COUNTIF($H$18:$H23,$H23)
  )
 ),"
Missing")</f>
        <v>Agent</v>
      </c>
      <c r="AI23" s="210" t="str">
        <f t="array" ref="AI23">IFERROR(
 INDEX(
  SCHEDULE!$A$1:$A$76,
   SMALL(
   IF(
    (ISNUMBER(SEARCH("A",SCHEDULE!AF$1:AF$76)))*
   ( (SCHEDULE!AE$1:AE$76=$B23)+(SCHEDULE!AE$1:AE$76=$C23)+(SCHEDULE!AE$1:AE$76=$D23)+(SCHEDULE!AE$1:AE$76=$E23)+(SCHEDULE!AE$1:AE$76=$F23)+ (SCHEDULE!AG$1:AG$76=$G23) ),
     ROW(SCHEDULE!BN$1:BN$76),
     ""
    ),COUNTIF($H$18:$H23,$H23)
  )
 ),"
Missing")</f>
        <v>Paul Soares</v>
      </c>
      <c r="AJ23" s="210" t="str">
        <f t="array" ref="AJ23">IFERROR(
 INDEX(
  SCHEDULE!$A$1:$A$76,
   SMALL(
   IF(
    (ISNUMBER(SEARCH("A",SCHEDULE!AG$1:AG$76)))*
   ( (SCHEDULE!AF$1:AF$76=$B23)+(SCHEDULE!AF$1:AF$76=$C23)+(SCHEDULE!AF$1:AF$76=$D23)+(SCHEDULE!AF$1:AF$76=$E23)+(SCHEDULE!AF$1:AF$76=$F23)+ (SCHEDULE!AH$1:AH$76=$G23) ),
     ROW(SCHEDULE!BO$1:BO$76),
     ""
    ),COUNTIF($H$18:$H23,$H23)
  )
 ),"
Missing")</f>
        <v xml:space="preserve">
Missing</v>
      </c>
      <c r="AK23" s="210" t="str">
        <f t="array" ref="AK23">IFERROR(
 INDEX(
  SCHEDULE!$A$1:$A$76,
   SMALL(
   IF(
    (ISNUMBER(SEARCH("A",SCHEDULE!AH$1:AH$76)))*
   ( (SCHEDULE!AG$1:AG$76=$B23)+(SCHEDULE!AG$1:AG$76=$C23)+(SCHEDULE!AG$1:AG$76=$D23)+(SCHEDULE!AG$1:AG$76=$E23)+(SCHEDULE!AG$1:AG$76=$F23)+ (SCHEDULE!AI$1:AI$76=$G23) ),
     ROW(SCHEDULE!BP$1:BP$76),
     ""
    ),COUNTIF($H$18:$H23,$H23)
  )
 ),"
Missing")</f>
        <v>Andrew Metcalf</v>
      </c>
      <c r="AL23" s="210" t="str">
        <f t="array" ref="AL23">IFERROR(
 INDEX(
  SCHEDULE!$A$1:$A$76,
   SMALL(
   IF(
    (ISNUMBER(SEARCH("A",SCHEDULE!AI$1:AI$76)))*
   ( (SCHEDULE!AH$1:AH$76=$B23)+(SCHEDULE!AH$1:AH$76=$C23)+(SCHEDULE!AH$1:AH$76=$D23)+(SCHEDULE!AH$1:AH$76=$E23)+(SCHEDULE!AH$1:AH$76=$F23)+ (SCHEDULE!AJ$1:AJ$76=$G23) ),
     ROW(SCHEDULE!BQ$1:BQ$76),
     ""
    ),COUNTIF($H$18:$H23,$H23)
  )
 ),"
Missing")</f>
        <v>DJ Clements</v>
      </c>
      <c r="AM23" s="210" t="str">
        <f t="array" ref="AM23">IFERROR(
 INDEX(
  SCHEDULE!$A$1:$A$76,
   SMALL(
   IF(
    (ISNUMBER(SEARCH("A",SCHEDULE!AJ$1:AJ$76)))*
   ( (SCHEDULE!AI$1:AI$76=$B23)+(SCHEDULE!AI$1:AI$76=$C23)+(SCHEDULE!AI$1:AI$76=$D23)+(SCHEDULE!AI$1:AI$76=$E23)+(SCHEDULE!AI$1:AI$76=$F23)+ (SCHEDULE!AK$1:AK$76=$G23) ),
     ROW(SCHEDULE!BR$1:BR$76),
     ""
    ),COUNTIF($H$18:$H23,$H23)
  )
 ),"
Missing")</f>
        <v>Cameron Wood</v>
      </c>
      <c r="AN23" s="210" t="str">
        <f t="array" ref="AN23">IFERROR(
 INDEX(
  SCHEDULE!$A$1:$A$76,
   SMALL(
   IF(
    (ISNUMBER(SEARCH("A",SCHEDULE!AK$1:AK$76)))*
   ( (SCHEDULE!AJ$1:AJ$76=$B23)+(SCHEDULE!AJ$1:AJ$76=$C23)+(SCHEDULE!AJ$1:AJ$76=$D23)+(SCHEDULE!AJ$1:AJ$76=$E23)+(SCHEDULE!AJ$1:AJ$76=$F23)+ (SCHEDULE!AL$1:AL$76=$G23) ),
     ROW(SCHEDULE!BS$1:BS$76),
     ""
    ),COUNTIF($H$18:$H23,$H23)
  )
 ),"
Missing")</f>
        <v>Andrew Metcalf</v>
      </c>
      <c r="AO23" s="210" t="str">
        <f t="array" ref="AO23">IFERROR(
 INDEX(
  SCHEDULE!$A$1:$A$76,
   SMALL(
   IF(
    (ISNUMBER(SEARCH("A",SCHEDULE!AL$1:AL$76)))*
   ( (SCHEDULE!AK$1:AK$76=$B23)+(SCHEDULE!AK$1:AK$76=$C23)+(SCHEDULE!AK$1:AK$76=$D23)+(SCHEDULE!AK$1:AK$76=$E23)+(SCHEDULE!AK$1:AK$76=$F23)+ (SCHEDULE!AM$1:AM$76=$G23) ),
     ROW(SCHEDULE!BT$1:BT$76),
     ""
    ),COUNTIF($H$18:$H23,$H23)
  )
 ),"
Missing")</f>
        <v>DJ Clements</v>
      </c>
      <c r="AP23" s="210" t="str">
        <f t="array" ref="AP23">IFERROR(
 INDEX(
  SCHEDULE!$A$1:$A$76,
   SMALL(
   IF(
    (ISNUMBER(SEARCH("A",SCHEDULE!AM$1:AM$76)))*
   ( (SCHEDULE!AL$1:AL$76=$B23)+(SCHEDULE!AL$1:AL$76=$C23)+(SCHEDULE!AL$1:AL$76=$D23)+(SCHEDULE!AL$1:AL$76=$E23)+(SCHEDULE!AL$1:AL$76=$F23)+ (SCHEDULE!AN$1:AN$76=$G23) ),
     ROW(SCHEDULE!BU$1:BU$76),
     ""
    ),COUNTIF($H$18:$H23,$H23)
  )
 ),"
Missing")</f>
        <v>Cameron Wood</v>
      </c>
      <c r="AQ23" s="210" t="str">
        <f t="array" ref="AQ23">IFERROR(
 INDEX(
  SCHEDULE!$A$1:$A$76,
   SMALL(
   IF(
    (ISNUMBER(SEARCH("A",SCHEDULE!AN$1:AN$76)))*
   ( (SCHEDULE!AM$1:AM$76=$B23)+(SCHEDULE!AM$1:AM$76=$C23)+(SCHEDULE!AM$1:AM$76=$D23)+(SCHEDULE!AM$1:AM$76=$E23)+(SCHEDULE!AM$1:AM$76=$F23)+ (SCHEDULE!AO$1:AO$76=$G23) ),
     ROW(SCHEDULE!BV$1:BV$76),
     ""
    ),COUNTIF($H$18:$H23,$H23)
  )
 ),"
Missing")</f>
        <v>Andrew Metcalf</v>
      </c>
      <c r="AR23" s="210" t="str">
        <f t="array" ref="AR23">IFERROR(
 INDEX(
  SCHEDULE!$A$1:$A$76,
   SMALL(
   IF(
    (ISNUMBER(SEARCH("A",SCHEDULE!AO$1:AO$76)))*
   ( (SCHEDULE!AN$1:AN$76=$B23)+(SCHEDULE!AN$1:AN$76=$C23)+(SCHEDULE!AN$1:AN$76=$D23)+(SCHEDULE!AN$1:AN$76=$E23)+(SCHEDULE!AN$1:AN$76=$F23)+ (SCHEDULE!AP$1:AP$76=$G23) ),
     ROW(SCHEDULE!BW$1:BW$76),
     ""
    ),COUNTIF($H$18:$H23,$H23)
  )
 ),"
Missing")</f>
        <v>DJ Clements</v>
      </c>
      <c r="AS23" s="210" t="str">
        <f t="array" ref="AS23">IFERROR(
 INDEX(
  SCHEDULE!$A$1:$A$76,
   SMALL(
   IF(
    (ISNUMBER(SEARCH("A",SCHEDULE!AP$1:AP$76)))*
   ( (SCHEDULE!AO$1:AO$76=$B23)+(SCHEDULE!AO$1:AO$76=$C23)+(SCHEDULE!AO$1:AO$76=$D23)+(SCHEDULE!AO$1:AO$76=$E23)+(SCHEDULE!AO$1:AO$76=$F23)+ (SCHEDULE!AQ$1:AQ$76=$G23) ),
     ROW(SCHEDULE!BX$1:BX$76),
     ""
    ),COUNTIF($H$18:$H23,$H23)
  )
 ),"
Missing")</f>
        <v>Cameron Wood</v>
      </c>
      <c r="AT23" s="210" t="str">
        <f t="array" ref="AT23">IFERROR(
 INDEX(
  SCHEDULE!$A$1:$A$76,
   SMALL(
   IF(
    (ISNUMBER(SEARCH("A",SCHEDULE!AQ$1:AQ$76)))*
   ( (SCHEDULE!AP$1:AP$76=$B23)+(SCHEDULE!AP$1:AP$76=$C23)+(SCHEDULE!AP$1:AP$76=$D23)+(SCHEDULE!AP$1:AP$76=$E23)+(SCHEDULE!AP$1:AP$76=$F23)+ (SCHEDULE!AR$1:AR$76=$G23) ),
     ROW(SCHEDULE!BY$1:BY$76),
     ""
    ),COUNTIF($H$18:$H23,$H23)
  )
 ),"
Missing")</f>
        <v>Andrew Metcalf</v>
      </c>
      <c r="AU23" s="210" t="str">
        <f t="array" ref="AU23">IFERROR(
 INDEX(
  SCHEDULE!$A$1:$A$76,
   SMALL(
   IF(
    (ISNUMBER(SEARCH("A",SCHEDULE!AR$1:AR$76)))*
   ( (SCHEDULE!AQ$1:AQ$76=$B23)+(SCHEDULE!AQ$1:AQ$76=$C23)+(SCHEDULE!AQ$1:AQ$76=$D23)+(SCHEDULE!AQ$1:AQ$76=$E23)+(SCHEDULE!AQ$1:AQ$76=$F23)+ (SCHEDULE!AS$1:AS$76=$G23) ),
     ROW(SCHEDULE!BZ$1:BZ$76),
     ""
    ),COUNTIF($H$18:$H23,$H23)
  )
 ),"
Missing")</f>
        <v>DJ Clements</v>
      </c>
      <c r="AV23" s="210" t="str">
        <f t="array" ref="AV23">IFERROR(
 INDEX(
  SCHEDULE!$A$1:$A$76,
   SMALL(
   IF(
    (ISNUMBER(SEARCH("A",SCHEDULE!AS$1:AS$76)))*
   ( (SCHEDULE!AR$1:AR$76=$B23)+(SCHEDULE!AR$1:AR$76=$C23)+(SCHEDULE!AR$1:AR$76=$D23)+(SCHEDULE!AR$1:AR$76=$E23)+(SCHEDULE!AR$1:AR$76=$F23)+ (SCHEDULE!AT$1:AT$76=$G23) ),
     ROW(SCHEDULE!CA$1:CA$76),
     ""
    ),COUNTIF($H$18:$H23,$H23)
  )
 ),"
Missing")</f>
        <v xml:space="preserve">
Missing</v>
      </c>
      <c r="AW23" s="210" t="str">
        <f t="array" ref="AW23">IFERROR(
 INDEX(
  SCHEDULE!$A$1:$A$76,
   SMALL(
   IF(
    (ISNUMBER(SEARCH("A",SCHEDULE!AT$1:AT$76)))*
   ( (SCHEDULE!AS$1:AS$76=$B23)+(SCHEDULE!AS$1:AS$76=$C23)+(SCHEDULE!AS$1:AS$76=$D23)+(SCHEDULE!AS$1:AS$76=$E23)+(SCHEDULE!AS$1:AS$76=$F23)+ (SCHEDULE!AU$1:AU$76=$G23) ),
     ROW(SCHEDULE!CB$1:CB$76),
     ""
    ),COUNTIF($H$18:$H23,$H23)
  )
 ),"
Missing")</f>
        <v>Andrew Metcalf</v>
      </c>
      <c r="AX23" s="210" t="str">
        <f t="array" ref="AX23">IFERROR(
 INDEX(
  SCHEDULE!$A$1:$A$76,
   SMALL(
   IF(
    (ISNUMBER(SEARCH("A",SCHEDULE!AU$1:AU$76)))*
   ( (SCHEDULE!AT$1:AT$76=$B23)+(SCHEDULE!AT$1:AT$76=$C23)+(SCHEDULE!AT$1:AT$76=$D23)+(SCHEDULE!AT$1:AT$76=$E23)+(SCHEDULE!AT$1:AT$76=$F23)+ (SCHEDULE!AV$1:AV$76=$G23) ),
     ROW(SCHEDULE!CC$1:CC$76),
     ""
    ),COUNTIF($H$18:$H23,$H23)
  )
 ),"
Missing")</f>
        <v>Paul Soares</v>
      </c>
      <c r="AY23" s="210" t="str">
        <f t="array" ref="AY23">IFERROR(
 INDEX(
  SCHEDULE!$A$1:$A$76,
   SMALL(
   IF(
    (ISNUMBER(SEARCH("A",SCHEDULE!AV$1:AV$76)))*
   ( (SCHEDULE!AU$1:AU$76=$B23)+(SCHEDULE!AU$1:AU$76=$C23)+(SCHEDULE!AU$1:AU$76=$D23)+(SCHEDULE!AU$1:AU$76=$E23)+(SCHEDULE!AU$1:AU$76=$F23)+ (SCHEDULE!AW$1:AW$76=$G23) ),
     ROW(SCHEDULE!CD$1:CD$76),
     ""
    ),COUNTIF($H$18:$H23,$H23)
  )
 ),"
Missing")</f>
        <v xml:space="preserve">
Missing</v>
      </c>
      <c r="AZ23" s="210" t="str">
        <f t="array" ref="AZ23">IFERROR(
 INDEX(
  SCHEDULE!$A$1:$A$76,
   SMALL(
   IF(
    (ISNUMBER(SEARCH("A",SCHEDULE!AW$1:AW$76)))*
   ( (SCHEDULE!AV$1:AV$76=$B23)+(SCHEDULE!AV$1:AV$76=$C23)+(SCHEDULE!AV$1:AV$76=$D23)+(SCHEDULE!AV$1:AV$76=$E23)+(SCHEDULE!AV$1:AV$76=$F23)+ (SCHEDULE!AX$1:AX$76=$G23) ),
     ROW(SCHEDULE!CE$1:CE$76),
     ""
    ),COUNTIF($H$18:$H23,$H23)
  )
 ),"
Missing")</f>
        <v xml:space="preserve">
Missing</v>
      </c>
      <c r="BA23" s="210" t="str">
        <f t="array" ref="BA23">IFERROR(
 INDEX(
  SCHEDULE!$A$1:$A$76,
   SMALL(
   IF(
    (ISNUMBER(SEARCH("A",SCHEDULE!AX$1:AX$76)))*
   ( (SCHEDULE!AW$1:AW$76=$B23)+(SCHEDULE!AW$1:AW$76=$C23)+(SCHEDULE!AW$1:AW$76=$D23)+(SCHEDULE!AW$1:AW$76=$E23)+(SCHEDULE!AW$1:AW$76=$F23)+ (SCHEDULE!AY$1:AY$76=$G23) ),
     ROW(SCHEDULE!CF$1:CF$76),
     ""
    ),COUNTIF($H$18:$H23,$H23)
  )
 ),"
Missing")</f>
        <v>Paul Soares</v>
      </c>
      <c r="BB23" s="210" t="str">
        <f t="array" ref="BB23">IFERROR(
 INDEX(
  SCHEDULE!$A$1:$A$76,
   SMALL(
   IF(
    (ISNUMBER(SEARCH("A",SCHEDULE!AY$1:AY$76)))*
   ( (SCHEDULE!AX$1:AX$76=$B23)+(SCHEDULE!AX$1:AX$76=$C23)+(SCHEDULE!AX$1:AX$76=$D23)+(SCHEDULE!AX$1:AX$76=$E23)+(SCHEDULE!AX$1:AX$76=$F23)+ (SCHEDULE!AZ$1:AZ$76=$G23) ),
     ROW(SCHEDULE!CG$1:CG$76),
     ""
    ),COUNTIF($H$18:$H23,$H23)
  )
 ),"
Missing")</f>
        <v xml:space="preserve">
Missing</v>
      </c>
      <c r="BC23" s="210" t="str">
        <f t="array" ref="BC23">IFERROR(
 INDEX(
  SCHEDULE!$A$1:$A$76,
   SMALL(
   IF(
    (ISNUMBER(SEARCH("A",SCHEDULE!AZ$1:AZ$76)))*
   ( (SCHEDULE!AY$1:AY$76=$B23)+(SCHEDULE!AY$1:AY$76=$C23)+(SCHEDULE!AY$1:AY$76=$D23)+(SCHEDULE!AY$1:AY$76=$E23)+(SCHEDULE!AY$1:AY$76=$F23)+ (SCHEDULE!BA$1:BA$76=$G23) ),
     ROW(SCHEDULE!CH$1:CH$76),
     ""
    ),COUNTIF($H$18:$H23,$H23)
  )
 ),"
Missing")</f>
        <v xml:space="preserve">
Missing</v>
      </c>
      <c r="BD23" s="210" t="str">
        <f t="array" ref="BD23">IFERROR(
 INDEX(
  SCHEDULE!$A$1:$A$76,
   SMALL(
   IF(
    (ISNUMBER(SEARCH("A",SCHEDULE!BA$1:BA$76)))*
   ( (SCHEDULE!AZ$1:AZ$76=$B23)+(SCHEDULE!AZ$1:AZ$76=$C23)+(SCHEDULE!AZ$1:AZ$76=$D23)+(SCHEDULE!AZ$1:AZ$76=$E23)+(SCHEDULE!AZ$1:AZ$76=$F23)+ (SCHEDULE!BB$1:BB$76=$G23) ),
     ROW(SCHEDULE!CI$1:CI$76),
     ""
    ),COUNTIF($H$18:$H23,$H23)
  )
 ),"
Missing")</f>
        <v>Agent</v>
      </c>
      <c r="BE23" s="210" t="str">
        <f t="array" ref="BE23">IFERROR(
 INDEX(
  SCHEDULE!$A$1:$A$76,
   SMALL(
   IF(
    (ISNUMBER(SEARCH("A",SCHEDULE!BB$1:BB$76)))*
   ( (SCHEDULE!BA$1:BA$76=$B23)+(SCHEDULE!BA$1:BA$76=$C23)+(SCHEDULE!BA$1:BA$76=$D23)+(SCHEDULE!BA$1:BA$76=$E23)+(SCHEDULE!BA$1:BA$76=$F23)+ (SCHEDULE!BC$1:BC$76=$G23) ),
     ROW(SCHEDULE!CJ$1:CJ$76),
     ""
    ),COUNTIF($H$18:$H23,$H23)
  )
 ),"
Missing")</f>
        <v>Paul Soares</v>
      </c>
    </row>
    <row r="24" spans="2:57" hidden="1" x14ac:dyDescent="0.2">
      <c r="B24" s="206">
        <v>0.58333333333333337</v>
      </c>
      <c r="C24" s="206" t="s">
        <v>89</v>
      </c>
      <c r="D24" s="206">
        <v>0.5</v>
      </c>
      <c r="E24" s="206">
        <v>0.54166666666666663</v>
      </c>
      <c r="F24" s="206">
        <v>0.70833333333333337</v>
      </c>
      <c r="G24" s="206" t="s">
        <v>86</v>
      </c>
      <c r="H24" s="207" t="s">
        <v>104</v>
      </c>
      <c r="I24" s="210" t="str">
        <f t="array" ref="I24">IFERROR(
 INDEX(
  SCHEDULE!$A$1:$A$76,
   SMALL(
   IF(
    (ISNUMBER(SEARCH("A",SCHEDULE!F$1:F$76)))*
   ( (SCHEDULE!E$1:E$76=$B24)+(SCHEDULE!E$1:E$76=$C24)+(SCHEDULE!E$1:E$76=$D24)+(SCHEDULE!E$1:E$76=$E24)+(SCHEDULE!E$1:E$76=$F24)+ (SCHEDULE!G$1:G$76=$G24) ),
     ROW(SCHEDULE!AN$1:AN$76),
     ""
    ),COUNTIF($H$18:$H24,$H24)
  )
 ),"
Missing")</f>
        <v xml:space="preserve">
Missing</v>
      </c>
      <c r="J24" s="210" t="str">
        <f t="array" ref="J24">IFERROR(
 INDEX(
  SCHEDULE!$A$1:$A$76,
   SMALL(
   IF(
    (ISNUMBER(SEARCH("A",SCHEDULE!G$1:G$76)))*
   ( (SCHEDULE!F$1:F$76=$B24)+(SCHEDULE!F$1:F$76=$C24)+(SCHEDULE!F$1:F$76=$D24)+(SCHEDULE!F$1:F$76=$E24)+(SCHEDULE!F$1:F$76=$F24)+ (SCHEDULE!H$1:H$76=$G24) ),
     ROW(SCHEDULE!AO$1:AO$76),
     ""
    ),COUNTIF($H$18:$H24,$H24)
  )
 ),"
Missing")</f>
        <v xml:space="preserve">
Missing</v>
      </c>
      <c r="K24" s="210" t="str">
        <f t="array" ref="K24">IFERROR(
 INDEX(
  SCHEDULE!$A$1:$A$76,
   SMALL(
   IF(
    (ISNUMBER(SEARCH("A",SCHEDULE!H$1:H$76)))*
   ( (SCHEDULE!G$1:G$76=$B24)+(SCHEDULE!G$1:G$76=$C24)+(SCHEDULE!G$1:G$76=$D24)+(SCHEDULE!G$1:G$76=$E24)+(SCHEDULE!G$1:G$76=$F24)+ (SCHEDULE!I$1:I$76=$G24) ),
     ROW(SCHEDULE!AP$1:AP$76),
     ""
    ),COUNTIF($H$18:$H24,$H24)
  )
 ),"
Missing")</f>
        <v xml:space="preserve">
Missing</v>
      </c>
      <c r="L24" s="210" t="str">
        <f t="array" ref="L24">IFERROR(
 INDEX(
  SCHEDULE!$A$1:$A$76,
   SMALL(
   IF(
    (ISNUMBER(SEARCH("A",SCHEDULE!I$1:I$76)))*
   ( (SCHEDULE!H$1:H$76=$B24)+(SCHEDULE!H$1:H$76=$C24)+(SCHEDULE!H$1:H$76=$D24)+(SCHEDULE!H$1:H$76=$E24)+(SCHEDULE!H$1:H$76=$F24)+ (SCHEDULE!J$1:J$76=$G24) ),
     ROW(SCHEDULE!AQ$1:AQ$76),
     ""
    ),COUNTIF($H$18:$H24,$H24)
  )
 ),"
Missing")</f>
        <v xml:space="preserve">
Missing</v>
      </c>
      <c r="M24" s="210" t="str">
        <f t="array" ref="M24">IFERROR(
 INDEX(
  SCHEDULE!$A$1:$A$76,
   SMALL(
   IF(
    (ISNUMBER(SEARCH("A",SCHEDULE!J$1:J$76)))*
   ( (SCHEDULE!I$1:I$76=$B24)+(SCHEDULE!I$1:I$76=$C24)+(SCHEDULE!I$1:I$76=$D24)+(SCHEDULE!I$1:I$76=$E24)+(SCHEDULE!I$1:I$76=$F24)+ (SCHEDULE!K$1:K$76=$G24) ),
     ROW(SCHEDULE!AR$1:AR$76),
     ""
    ),COUNTIF($H$18:$H24,$H24)
  )
 ),"
Missing")</f>
        <v xml:space="preserve">
Missing</v>
      </c>
      <c r="N24" s="210" t="str">
        <f t="array" ref="N24">IFERROR(
 INDEX(
  SCHEDULE!$A$1:$A$76,
   SMALL(
   IF(
    (ISNUMBER(SEARCH("A",SCHEDULE!K$1:K$76)))*
   ( (SCHEDULE!J$1:J$76=$B24)+(SCHEDULE!J$1:J$76=$C24)+(SCHEDULE!J$1:J$76=$D24)+(SCHEDULE!J$1:J$76=$E24)+(SCHEDULE!J$1:J$76=$F24)+ (SCHEDULE!L$1:L$76=$G24) ),
     ROW(SCHEDULE!AS$1:AS$76),
     ""
    ),COUNTIF($H$18:$H24,$H24)
  )
 ),"
Missing")</f>
        <v xml:space="preserve">
Missing</v>
      </c>
      <c r="O24" s="210" t="str">
        <f t="array" ref="O24">IFERROR(
 INDEX(
  SCHEDULE!$A$1:$A$76,
   SMALL(
   IF(
    (ISNUMBER(SEARCH("A",SCHEDULE!L$1:L$76)))*
   ( (SCHEDULE!K$1:K$76=$B24)+(SCHEDULE!K$1:K$76=$C24)+(SCHEDULE!K$1:K$76=$D24)+(SCHEDULE!K$1:K$76=$E24)+(SCHEDULE!K$1:K$76=$F24)+ (SCHEDULE!M$1:M$76=$G24) ),
     ROW(SCHEDULE!AT$1:AT$76),
     ""
    ),COUNTIF($H$18:$H24,$H24)
  )
 ),"
Missing")</f>
        <v xml:space="preserve">
Missing</v>
      </c>
      <c r="P24" s="210" t="str">
        <f t="array" ref="P24">IFERROR(
 INDEX(
  SCHEDULE!$A$1:$A$76,
   SMALL(
   IF(
    (ISNUMBER(SEARCH("A",SCHEDULE!M$1:M$76)))*
   ( (SCHEDULE!L$1:L$76=$B24)+(SCHEDULE!L$1:L$76=$C24)+(SCHEDULE!L$1:L$76=$D24)+(SCHEDULE!L$1:L$76=$E24)+(SCHEDULE!L$1:L$76=$F24)+ (SCHEDULE!N$1:N$76=$G24) ),
     ROW(SCHEDULE!AU$1:AU$76),
     ""
    ),COUNTIF($H$18:$H24,$H24)
  )
 ),"
Missing")</f>
        <v xml:space="preserve">
Missing</v>
      </c>
      <c r="Q24" s="210" t="str">
        <f t="array" ref="Q24">IFERROR(
 INDEX(
  SCHEDULE!$A$1:$A$76,
   SMALL(
   IF(
    (ISNUMBER(SEARCH("A",SCHEDULE!N$1:N$76)))*
   ( (SCHEDULE!M$1:M$76=$B24)+(SCHEDULE!M$1:M$76=$C24)+(SCHEDULE!M$1:M$76=$D24)+(SCHEDULE!M$1:M$76=$E24)+(SCHEDULE!M$1:M$76=$F24)+ (SCHEDULE!O$1:O$76=$G24) ),
     ROW(SCHEDULE!AV$1:AV$76),
     ""
    ),COUNTIF($H$18:$H24,$H24)
  )
 ),"
Missing")</f>
        <v xml:space="preserve">
Missing</v>
      </c>
      <c r="R24" s="210" t="str">
        <f t="array" ref="R24">IFERROR(
 INDEX(
  SCHEDULE!$A$1:$A$76,
   SMALL(
   IF(
    (ISNUMBER(SEARCH("A",SCHEDULE!O$1:O$76)))*
   ( (SCHEDULE!N$1:N$76=$B24)+(SCHEDULE!N$1:N$76=$C24)+(SCHEDULE!N$1:N$76=$D24)+(SCHEDULE!N$1:N$76=$E24)+(SCHEDULE!N$1:N$76=$F24)+ (SCHEDULE!P$1:P$76=$G24) ),
     ROW(SCHEDULE!AW$1:AW$76),
     ""
    ),COUNTIF($H$18:$H24,$H24)
  )
 ),"
Missing")</f>
        <v xml:space="preserve">
Missing</v>
      </c>
      <c r="S24" s="210" t="str">
        <f t="array" ref="S24">IFERROR(
 INDEX(
  SCHEDULE!$A$1:$A$76,
   SMALL(
   IF(
    (ISNUMBER(SEARCH("A",SCHEDULE!P$1:P$76)))*
   ( (SCHEDULE!O$1:O$76=$B24)+(SCHEDULE!O$1:O$76=$C24)+(SCHEDULE!O$1:O$76=$D24)+(SCHEDULE!O$1:O$76=$E24)+(SCHEDULE!O$1:O$76=$F24)+ (SCHEDULE!Q$1:Q$76=$G24) ),
     ROW(SCHEDULE!AX$1:AX$76),
     ""
    ),COUNTIF($H$18:$H24,$H24)
  )
 ),"
Missing")</f>
        <v xml:space="preserve">
Missing</v>
      </c>
      <c r="T24" s="210" t="str">
        <f t="array" ref="T24">IFERROR(
 INDEX(
  SCHEDULE!$A$1:$A$76,
   SMALL(
   IF(
    (ISNUMBER(SEARCH("A",SCHEDULE!Q$1:Q$76)))*
   ( (SCHEDULE!P$1:P$76=$B24)+(SCHEDULE!P$1:P$76=$C24)+(SCHEDULE!P$1:P$76=$D24)+(SCHEDULE!P$1:P$76=$E24)+(SCHEDULE!P$1:P$76=$F24)+ (SCHEDULE!R$1:R$76=$G24) ),
     ROW(SCHEDULE!AY$1:AY$76),
     ""
    ),COUNTIF($H$18:$H24,$H24)
  )
 ),"
Missing")</f>
        <v xml:space="preserve">
Missing</v>
      </c>
      <c r="U24" s="210" t="str">
        <f t="array" ref="U24">IFERROR(
 INDEX(
  SCHEDULE!$A$1:$A$76,
   SMALL(
   IF(
    (ISNUMBER(SEARCH("A",SCHEDULE!R$1:R$76)))*
   ( (SCHEDULE!Q$1:Q$76=$B24)+(SCHEDULE!Q$1:Q$76=$C24)+(SCHEDULE!Q$1:Q$76=$D24)+(SCHEDULE!Q$1:Q$76=$E24)+(SCHEDULE!Q$1:Q$76=$F24)+ (SCHEDULE!S$1:S$76=$G24) ),
     ROW(SCHEDULE!AZ$1:AZ$76),
     ""
    ),COUNTIF($H$18:$H24,$H24)
  )
 ),"
Missing")</f>
        <v xml:space="preserve">
Missing</v>
      </c>
      <c r="V24" s="210" t="str">
        <f t="array" ref="V24">IFERROR(
 INDEX(
  SCHEDULE!$A$1:$A$76,
   SMALL(
   IF(
    (ISNUMBER(SEARCH("A",SCHEDULE!S$1:S$76)))*
   ( (SCHEDULE!R$1:R$76=$B24)+(SCHEDULE!R$1:R$76=$C24)+(SCHEDULE!R$1:R$76=$D24)+(SCHEDULE!R$1:R$76=$E24)+(SCHEDULE!R$1:R$76=$F24)+ (SCHEDULE!T$1:T$76=$G24) ),
     ROW(SCHEDULE!BA$1:BA$76),
     ""
    ),COUNTIF($H$18:$H24,$H24)
  )
 ),"
Missing")</f>
        <v>DJ Clements</v>
      </c>
      <c r="W24" s="210" t="str">
        <f t="array" ref="W24">IFERROR(
 INDEX(
  SCHEDULE!$A$1:$A$76,
   SMALL(
   IF(
    (ISNUMBER(SEARCH("A",SCHEDULE!T$1:T$76)))*
   ( (SCHEDULE!S$1:S$76=$B24)+(SCHEDULE!S$1:S$76=$C24)+(SCHEDULE!S$1:S$76=$D24)+(SCHEDULE!S$1:S$76=$E24)+(SCHEDULE!S$1:S$76=$F24)+ (SCHEDULE!U$1:U$76=$G24) ),
     ROW(SCHEDULE!BB$1:BB$76),
     ""
    ),COUNTIF($H$18:$H24,$H24)
  )
 ),"
Missing")</f>
        <v xml:space="preserve">
Missing</v>
      </c>
      <c r="X24" s="210" t="str">
        <f t="array" ref="X24">IFERROR(
 INDEX(
  SCHEDULE!$A$1:$A$76,
   SMALL(
   IF(
    (ISNUMBER(SEARCH("A",SCHEDULE!U$1:U$76)))*
   ( (SCHEDULE!T$1:T$76=$B24)+(SCHEDULE!T$1:T$76=$C24)+(SCHEDULE!T$1:T$76=$D24)+(SCHEDULE!T$1:T$76=$E24)+(SCHEDULE!T$1:T$76=$F24)+ (SCHEDULE!V$1:V$76=$G24) ),
     ROW(SCHEDULE!BC$1:BC$76),
     ""
    ),COUNTIF($H$18:$H24,$H24)
  )
 ),"
Missing")</f>
        <v xml:space="preserve">
Missing</v>
      </c>
      <c r="Y24" s="210" t="str">
        <f t="array" ref="Y24">IFERROR(
 INDEX(
  SCHEDULE!$A$1:$A$76,
   SMALL(
   IF(
    (ISNUMBER(SEARCH("A",SCHEDULE!V$1:V$76)))*
   ( (SCHEDULE!U$1:U$76=$B24)+(SCHEDULE!U$1:U$76=$C24)+(SCHEDULE!U$1:U$76=$D24)+(SCHEDULE!U$1:U$76=$E24)+(SCHEDULE!U$1:U$76=$F24)+ (SCHEDULE!W$1:W$76=$G24) ),
     ROW(SCHEDULE!BD$1:BD$76),
     ""
    ),COUNTIF($H$18:$H24,$H24)
  )
 ),"
Missing")</f>
        <v>DJ Clements</v>
      </c>
      <c r="Z24" s="210" t="str">
        <f t="array" ref="Z24">IFERROR(
 INDEX(
  SCHEDULE!$A$1:$A$76,
   SMALL(
   IF(
    (ISNUMBER(SEARCH("A",SCHEDULE!W$1:W$76)))*
   ( (SCHEDULE!V$1:V$76=$B24)+(SCHEDULE!V$1:V$76=$C24)+(SCHEDULE!V$1:V$76=$D24)+(SCHEDULE!V$1:V$76=$E24)+(SCHEDULE!V$1:V$76=$F24)+ (SCHEDULE!X$1:X$76=$G24) ),
     ROW(SCHEDULE!BE$1:BE$76),
     ""
    ),COUNTIF($H$18:$H24,$H24)
  )
 ),"
Missing")</f>
        <v xml:space="preserve">
Missing</v>
      </c>
      <c r="AA24" s="210" t="str">
        <f t="array" ref="AA24">IFERROR(
 INDEX(
  SCHEDULE!$A$1:$A$76,
   SMALL(
   IF(
    (ISNUMBER(SEARCH("A",SCHEDULE!X$1:X$76)))*
   ( (SCHEDULE!W$1:W$76=$B24)+(SCHEDULE!W$1:W$76=$C24)+(SCHEDULE!W$1:W$76=$D24)+(SCHEDULE!W$1:W$76=$E24)+(SCHEDULE!W$1:W$76=$F24)+ (SCHEDULE!Y$1:Y$76=$G24) ),
     ROW(SCHEDULE!BF$1:BF$76),
     ""
    ),COUNTIF($H$18:$H24,$H24)
  )
 ),"
Missing")</f>
        <v xml:space="preserve">
Missing</v>
      </c>
      <c r="AB24" s="210" t="str">
        <f t="array" ref="AB24">IFERROR(
 INDEX(
  SCHEDULE!$A$1:$A$76,
   SMALL(
   IF(
    (ISNUMBER(SEARCH("A",SCHEDULE!Y$1:Y$76)))*
   ( (SCHEDULE!X$1:X$76=$B24)+(SCHEDULE!X$1:X$76=$C24)+(SCHEDULE!X$1:X$76=$D24)+(SCHEDULE!X$1:X$76=$E24)+(SCHEDULE!X$1:X$76=$F24)+ (SCHEDULE!Z$1:Z$76=$G24) ),
     ROW(SCHEDULE!BG$1:BG$76),
     ""
    ),COUNTIF($H$18:$H24,$H24)
  )
 ),"
Missing")</f>
        <v xml:space="preserve">
Missing</v>
      </c>
      <c r="AC24" s="210" t="str">
        <f t="array" ref="AC24">IFERROR(
 INDEX(
  SCHEDULE!$A$1:$A$76,
   SMALL(
   IF(
    (ISNUMBER(SEARCH("A",SCHEDULE!Z$1:Z$76)))*
   ( (SCHEDULE!Y$1:Y$76=$B24)+(SCHEDULE!Y$1:Y$76=$C24)+(SCHEDULE!Y$1:Y$76=$D24)+(SCHEDULE!Y$1:Y$76=$E24)+(SCHEDULE!Y$1:Y$76=$F24)+ (SCHEDULE!AA$1:AA$76=$G24) ),
     ROW(SCHEDULE!BH$1:BH$76),
     ""
    ),COUNTIF($H$18:$H24,$H24)
  )
 ),"
Missing")</f>
        <v xml:space="preserve">
Missing</v>
      </c>
      <c r="AD24" s="210" t="str">
        <f t="array" ref="AD24">IFERROR(
 INDEX(
  SCHEDULE!$A$1:$A$76,
   SMALL(
   IF(
    (ISNUMBER(SEARCH("A",SCHEDULE!AA$1:AA$76)))*
   ( (SCHEDULE!Z$1:Z$76=$B24)+(SCHEDULE!Z$1:Z$76=$C24)+(SCHEDULE!Z$1:Z$76=$D24)+(SCHEDULE!Z$1:Z$76=$E24)+(SCHEDULE!Z$1:Z$76=$F24)+ (SCHEDULE!AB$1:AB$76=$G24) ),
     ROW(SCHEDULE!BI$1:BI$76),
     ""
    ),COUNTIF($H$18:$H24,$H24)
  )
 ),"
Missing")</f>
        <v xml:space="preserve">
Missing</v>
      </c>
      <c r="AE24" s="210" t="str">
        <f t="array" ref="AE24">IFERROR(
 INDEX(
  SCHEDULE!$A$1:$A$76,
   SMALL(
   IF(
    (ISNUMBER(SEARCH("A",SCHEDULE!AB$1:AB$76)))*
   ( (SCHEDULE!AA$1:AA$76=$B24)+(SCHEDULE!AA$1:AA$76=$C24)+(SCHEDULE!AA$1:AA$76=$D24)+(SCHEDULE!AA$1:AA$76=$E24)+(SCHEDULE!AA$1:AA$76=$F24)+ (SCHEDULE!AC$1:AC$76=$G24) ),
     ROW(SCHEDULE!BJ$1:BJ$76),
     ""
    ),COUNTIF($H$18:$H24,$H24)
  )
 ),"
Missing")</f>
        <v xml:space="preserve">
Missing</v>
      </c>
      <c r="AF24" s="210" t="str">
        <f t="array" ref="AF24">IFERROR(
 INDEX(
  SCHEDULE!$A$1:$A$76,
   SMALL(
   IF(
    (ISNUMBER(SEARCH("A",SCHEDULE!AC$1:AC$76)))*
   ( (SCHEDULE!AB$1:AB$76=$B24)+(SCHEDULE!AB$1:AB$76=$C24)+(SCHEDULE!AB$1:AB$76=$D24)+(SCHEDULE!AB$1:AB$76=$E24)+(SCHEDULE!AB$1:AB$76=$F24)+ (SCHEDULE!AD$1:AD$76=$G24) ),
     ROW(SCHEDULE!BK$1:BK$76),
     ""
    ),COUNTIF($H$18:$H24,$H24)
  )
 ),"
Missing")</f>
        <v xml:space="preserve">
Missing</v>
      </c>
      <c r="AG24" s="210" t="str">
        <f t="array" ref="AG24">IFERROR(
 INDEX(
  SCHEDULE!$A$1:$A$76,
   SMALL(
   IF(
    (ISNUMBER(SEARCH("A",SCHEDULE!AD$1:AD$76)))*
   ( (SCHEDULE!AC$1:AC$76=$B24)+(SCHEDULE!AC$1:AC$76=$C24)+(SCHEDULE!AC$1:AC$76=$D24)+(SCHEDULE!AC$1:AC$76=$E24)+(SCHEDULE!AC$1:AC$76=$F24)+ (SCHEDULE!AE$1:AE$76=$G24) ),
     ROW(SCHEDULE!BL$1:BL$76),
     ""
    ),COUNTIF($H$18:$H24,$H24)
  )
 ),"
Missing")</f>
        <v xml:space="preserve">
Missing</v>
      </c>
      <c r="AH24" s="210" t="str">
        <f t="array" ref="AH24">IFERROR(
 INDEX(
  SCHEDULE!$A$1:$A$76,
   SMALL(
   IF(
    (ISNUMBER(SEARCH("A",SCHEDULE!AE$1:AE$76)))*
   ( (SCHEDULE!AD$1:AD$76=$B24)+(SCHEDULE!AD$1:AD$76=$C24)+(SCHEDULE!AD$1:AD$76=$D24)+(SCHEDULE!AD$1:AD$76=$E24)+(SCHEDULE!AD$1:AD$76=$F24)+ (SCHEDULE!AF$1:AF$76=$G24) ),
     ROW(SCHEDULE!BM$1:BM$76),
     ""
    ),COUNTIF($H$18:$H24,$H24)
  )
 ),"
Missing")</f>
        <v xml:space="preserve">
Missing</v>
      </c>
      <c r="AI24" s="210" t="str">
        <f t="array" ref="AI24">IFERROR(
 INDEX(
  SCHEDULE!$A$1:$A$76,
   SMALL(
   IF(
    (ISNUMBER(SEARCH("A",SCHEDULE!AF$1:AF$76)))*
   ( (SCHEDULE!AE$1:AE$76=$B24)+(SCHEDULE!AE$1:AE$76=$C24)+(SCHEDULE!AE$1:AE$76=$D24)+(SCHEDULE!AE$1:AE$76=$E24)+(SCHEDULE!AE$1:AE$76=$F24)+ (SCHEDULE!AG$1:AG$76=$G24) ),
     ROW(SCHEDULE!BN$1:BN$76),
     ""
    ),COUNTIF($H$18:$H24,$H24)
  )
 ),"
Missing")</f>
        <v xml:space="preserve">
Missing</v>
      </c>
      <c r="AJ24" s="210" t="str">
        <f t="array" ref="AJ24">IFERROR(
 INDEX(
  SCHEDULE!$A$1:$A$76,
   SMALL(
   IF(
    (ISNUMBER(SEARCH("A",SCHEDULE!AG$1:AG$76)))*
   ( (SCHEDULE!AF$1:AF$76=$B24)+(SCHEDULE!AF$1:AF$76=$C24)+(SCHEDULE!AF$1:AF$76=$D24)+(SCHEDULE!AF$1:AF$76=$E24)+(SCHEDULE!AF$1:AF$76=$F24)+ (SCHEDULE!AH$1:AH$76=$G24) ),
     ROW(SCHEDULE!BO$1:BO$76),
     ""
    ),COUNTIF($H$18:$H24,$H24)
  )
 ),"
Missing")</f>
        <v xml:space="preserve">
Missing</v>
      </c>
      <c r="AK24" s="210" t="str">
        <f t="array" ref="AK24">IFERROR(
 INDEX(
  SCHEDULE!$A$1:$A$76,
   SMALL(
   IF(
    (ISNUMBER(SEARCH("A",SCHEDULE!AH$1:AH$76)))*
   ( (SCHEDULE!AG$1:AG$76=$B24)+(SCHEDULE!AG$1:AG$76=$C24)+(SCHEDULE!AG$1:AG$76=$D24)+(SCHEDULE!AG$1:AG$76=$E24)+(SCHEDULE!AG$1:AG$76=$F24)+ (SCHEDULE!AI$1:AI$76=$G24) ),
     ROW(SCHEDULE!BP$1:BP$76),
     ""
    ),COUNTIF($H$18:$H24,$H24)
  )
 ),"
Missing")</f>
        <v xml:space="preserve">
Missing</v>
      </c>
      <c r="AL24" s="210" t="str">
        <f t="array" ref="AL24">IFERROR(
 INDEX(
  SCHEDULE!$A$1:$A$76,
   SMALL(
   IF(
    (ISNUMBER(SEARCH("A",SCHEDULE!AI$1:AI$76)))*
   ( (SCHEDULE!AH$1:AH$76=$B24)+(SCHEDULE!AH$1:AH$76=$C24)+(SCHEDULE!AH$1:AH$76=$D24)+(SCHEDULE!AH$1:AH$76=$E24)+(SCHEDULE!AH$1:AH$76=$F24)+ (SCHEDULE!AJ$1:AJ$76=$G24) ),
     ROW(SCHEDULE!BQ$1:BQ$76),
     ""
    ),COUNTIF($H$18:$H24,$H24)
  )
 ),"
Missing")</f>
        <v xml:space="preserve">
Missing</v>
      </c>
      <c r="AM24" s="210" t="str">
        <f t="array" ref="AM24">IFERROR(
 INDEX(
  SCHEDULE!$A$1:$A$76,
   SMALL(
   IF(
    (ISNUMBER(SEARCH("A",SCHEDULE!AJ$1:AJ$76)))*
   ( (SCHEDULE!AI$1:AI$76=$B24)+(SCHEDULE!AI$1:AI$76=$C24)+(SCHEDULE!AI$1:AI$76=$D24)+(SCHEDULE!AI$1:AI$76=$E24)+(SCHEDULE!AI$1:AI$76=$F24)+ (SCHEDULE!AK$1:AK$76=$G24) ),
     ROW(SCHEDULE!BR$1:BR$76),
     ""
    ),COUNTIF($H$18:$H24,$H24)
  )
 ),"
Missing")</f>
        <v xml:space="preserve">
Missing</v>
      </c>
      <c r="AN24" s="210" t="str">
        <f t="array" ref="AN24">IFERROR(
 INDEX(
  SCHEDULE!$A$1:$A$76,
   SMALL(
   IF(
    (ISNUMBER(SEARCH("A",SCHEDULE!AK$1:AK$76)))*
   ( (SCHEDULE!AJ$1:AJ$76=$B24)+(SCHEDULE!AJ$1:AJ$76=$C24)+(SCHEDULE!AJ$1:AJ$76=$D24)+(SCHEDULE!AJ$1:AJ$76=$E24)+(SCHEDULE!AJ$1:AJ$76=$F24)+ (SCHEDULE!AL$1:AL$76=$G24) ),
     ROW(SCHEDULE!BS$1:BS$76),
     ""
    ),COUNTIF($H$18:$H24,$H24)
  )
 ),"
Missing")</f>
        <v xml:space="preserve">
Missing</v>
      </c>
      <c r="AO24" s="210" t="str">
        <f t="array" ref="AO24">IFERROR(
 INDEX(
  SCHEDULE!$A$1:$A$76,
   SMALL(
   IF(
    (ISNUMBER(SEARCH("A",SCHEDULE!AL$1:AL$76)))*
   ( (SCHEDULE!AK$1:AK$76=$B24)+(SCHEDULE!AK$1:AK$76=$C24)+(SCHEDULE!AK$1:AK$76=$D24)+(SCHEDULE!AK$1:AK$76=$E24)+(SCHEDULE!AK$1:AK$76=$F24)+ (SCHEDULE!AM$1:AM$76=$G24) ),
     ROW(SCHEDULE!BT$1:BT$76),
     ""
    ),COUNTIF($H$18:$H24,$H24)
  )
 ),"
Missing")</f>
        <v xml:space="preserve">
Missing</v>
      </c>
      <c r="AP24" s="210" t="str">
        <f t="array" ref="AP24">IFERROR(
 INDEX(
  SCHEDULE!$A$1:$A$76,
   SMALL(
   IF(
    (ISNUMBER(SEARCH("A",SCHEDULE!AM$1:AM$76)))*
   ( (SCHEDULE!AL$1:AL$76=$B24)+(SCHEDULE!AL$1:AL$76=$C24)+(SCHEDULE!AL$1:AL$76=$D24)+(SCHEDULE!AL$1:AL$76=$E24)+(SCHEDULE!AL$1:AL$76=$F24)+ (SCHEDULE!AN$1:AN$76=$G24) ),
     ROW(SCHEDULE!BU$1:BU$76),
     ""
    ),COUNTIF($H$18:$H24,$H24)
  )
 ),"
Missing")</f>
        <v xml:space="preserve">
Missing</v>
      </c>
      <c r="AQ24" s="210" t="str">
        <f t="array" ref="AQ24">IFERROR(
 INDEX(
  SCHEDULE!$A$1:$A$76,
   SMALL(
   IF(
    (ISNUMBER(SEARCH("A",SCHEDULE!AN$1:AN$76)))*
   ( (SCHEDULE!AM$1:AM$76=$B24)+(SCHEDULE!AM$1:AM$76=$C24)+(SCHEDULE!AM$1:AM$76=$D24)+(SCHEDULE!AM$1:AM$76=$E24)+(SCHEDULE!AM$1:AM$76=$F24)+ (SCHEDULE!AO$1:AO$76=$G24) ),
     ROW(SCHEDULE!BV$1:BV$76),
     ""
    ),COUNTIF($H$18:$H24,$H24)
  )
 ),"
Missing")</f>
        <v xml:space="preserve">
Missing</v>
      </c>
      <c r="AR24" s="210" t="str">
        <f t="array" ref="AR24">IFERROR(
 INDEX(
  SCHEDULE!$A$1:$A$76,
   SMALL(
   IF(
    (ISNUMBER(SEARCH("A",SCHEDULE!AO$1:AO$76)))*
   ( (SCHEDULE!AN$1:AN$76=$B24)+(SCHEDULE!AN$1:AN$76=$C24)+(SCHEDULE!AN$1:AN$76=$D24)+(SCHEDULE!AN$1:AN$76=$E24)+(SCHEDULE!AN$1:AN$76=$F24)+ (SCHEDULE!AP$1:AP$76=$G24) ),
     ROW(SCHEDULE!BW$1:BW$76),
     ""
    ),COUNTIF($H$18:$H24,$H24)
  )
 ),"
Missing")</f>
        <v xml:space="preserve">
Missing</v>
      </c>
      <c r="AS24" s="210" t="str">
        <f t="array" ref="AS24">IFERROR(
 INDEX(
  SCHEDULE!$A$1:$A$76,
   SMALL(
   IF(
    (ISNUMBER(SEARCH("A",SCHEDULE!AP$1:AP$76)))*
   ( (SCHEDULE!AO$1:AO$76=$B24)+(SCHEDULE!AO$1:AO$76=$C24)+(SCHEDULE!AO$1:AO$76=$D24)+(SCHEDULE!AO$1:AO$76=$E24)+(SCHEDULE!AO$1:AO$76=$F24)+ (SCHEDULE!AQ$1:AQ$76=$G24) ),
     ROW(SCHEDULE!BX$1:BX$76),
     ""
    ),COUNTIF($H$18:$H24,$H24)
  )
 ),"
Missing")</f>
        <v xml:space="preserve">
Missing</v>
      </c>
      <c r="AT24" s="210" t="str">
        <f t="array" ref="AT24">IFERROR(
 INDEX(
  SCHEDULE!$A$1:$A$76,
   SMALL(
   IF(
    (ISNUMBER(SEARCH("A",SCHEDULE!AQ$1:AQ$76)))*
   ( (SCHEDULE!AP$1:AP$76=$B24)+(SCHEDULE!AP$1:AP$76=$C24)+(SCHEDULE!AP$1:AP$76=$D24)+(SCHEDULE!AP$1:AP$76=$E24)+(SCHEDULE!AP$1:AP$76=$F24)+ (SCHEDULE!AR$1:AR$76=$G24) ),
     ROW(SCHEDULE!BY$1:BY$76),
     ""
    ),COUNTIF($H$18:$H24,$H24)
  )
 ),"
Missing")</f>
        <v xml:space="preserve">
Missing</v>
      </c>
      <c r="AU24" s="210" t="str">
        <f t="array" ref="AU24">IFERROR(
 INDEX(
  SCHEDULE!$A$1:$A$76,
   SMALL(
   IF(
    (ISNUMBER(SEARCH("A",SCHEDULE!AR$1:AR$76)))*
   ( (SCHEDULE!AQ$1:AQ$76=$B24)+(SCHEDULE!AQ$1:AQ$76=$C24)+(SCHEDULE!AQ$1:AQ$76=$D24)+(SCHEDULE!AQ$1:AQ$76=$E24)+(SCHEDULE!AQ$1:AQ$76=$F24)+ (SCHEDULE!AS$1:AS$76=$G24) ),
     ROW(SCHEDULE!BZ$1:BZ$76),
     ""
    ),COUNTIF($H$18:$H24,$H24)
  )
 ),"
Missing")</f>
        <v xml:space="preserve">
Missing</v>
      </c>
      <c r="AV24" s="210" t="str">
        <f t="array" ref="AV24">IFERROR(
 INDEX(
  SCHEDULE!$A$1:$A$76,
   SMALL(
   IF(
    (ISNUMBER(SEARCH("A",SCHEDULE!AS$1:AS$76)))*
   ( (SCHEDULE!AR$1:AR$76=$B24)+(SCHEDULE!AR$1:AR$76=$C24)+(SCHEDULE!AR$1:AR$76=$D24)+(SCHEDULE!AR$1:AR$76=$E24)+(SCHEDULE!AR$1:AR$76=$F24)+ (SCHEDULE!AT$1:AT$76=$G24) ),
     ROW(SCHEDULE!CA$1:CA$76),
     ""
    ),COUNTIF($H$18:$H24,$H24)
  )
 ),"
Missing")</f>
        <v xml:space="preserve">
Missing</v>
      </c>
      <c r="AW24" s="210" t="str">
        <f t="array" ref="AW24">IFERROR(
 INDEX(
  SCHEDULE!$A$1:$A$76,
   SMALL(
   IF(
    (ISNUMBER(SEARCH("A",SCHEDULE!AT$1:AT$76)))*
   ( (SCHEDULE!AS$1:AS$76=$B24)+(SCHEDULE!AS$1:AS$76=$C24)+(SCHEDULE!AS$1:AS$76=$D24)+(SCHEDULE!AS$1:AS$76=$E24)+(SCHEDULE!AS$1:AS$76=$F24)+ (SCHEDULE!AU$1:AU$76=$G24) ),
     ROW(SCHEDULE!CB$1:CB$76),
     ""
    ),COUNTIF($H$18:$H24,$H24)
  )
 ),"
Missing")</f>
        <v xml:space="preserve">
Missing</v>
      </c>
      <c r="AX24" s="210" t="str">
        <f t="array" ref="AX24">IFERROR(
 INDEX(
  SCHEDULE!$A$1:$A$76,
   SMALL(
   IF(
    (ISNUMBER(SEARCH("A",SCHEDULE!AU$1:AU$76)))*
   ( (SCHEDULE!AT$1:AT$76=$B24)+(SCHEDULE!AT$1:AT$76=$C24)+(SCHEDULE!AT$1:AT$76=$D24)+(SCHEDULE!AT$1:AT$76=$E24)+(SCHEDULE!AT$1:AT$76=$F24)+ (SCHEDULE!AV$1:AV$76=$G24) ),
     ROW(SCHEDULE!CC$1:CC$76),
     ""
    ),COUNTIF($H$18:$H24,$H24)
  )
 ),"
Missing")</f>
        <v xml:space="preserve">
Missing</v>
      </c>
      <c r="AY24" s="210" t="str">
        <f t="array" ref="AY24">IFERROR(
 INDEX(
  SCHEDULE!$A$1:$A$76,
   SMALL(
   IF(
    (ISNUMBER(SEARCH("A",SCHEDULE!AV$1:AV$76)))*
   ( (SCHEDULE!AU$1:AU$76=$B24)+(SCHEDULE!AU$1:AU$76=$C24)+(SCHEDULE!AU$1:AU$76=$D24)+(SCHEDULE!AU$1:AU$76=$E24)+(SCHEDULE!AU$1:AU$76=$F24)+ (SCHEDULE!AW$1:AW$76=$G24) ),
     ROW(SCHEDULE!CD$1:CD$76),
     ""
    ),COUNTIF($H$18:$H24,$H24)
  )
 ),"
Missing")</f>
        <v xml:space="preserve">
Missing</v>
      </c>
      <c r="AZ24" s="210" t="str">
        <f t="array" ref="AZ24">IFERROR(
 INDEX(
  SCHEDULE!$A$1:$A$76,
   SMALL(
   IF(
    (ISNUMBER(SEARCH("A",SCHEDULE!AW$1:AW$76)))*
   ( (SCHEDULE!AV$1:AV$76=$B24)+(SCHEDULE!AV$1:AV$76=$C24)+(SCHEDULE!AV$1:AV$76=$D24)+(SCHEDULE!AV$1:AV$76=$E24)+(SCHEDULE!AV$1:AV$76=$F24)+ (SCHEDULE!AX$1:AX$76=$G24) ),
     ROW(SCHEDULE!CE$1:CE$76),
     ""
    ),COUNTIF($H$18:$H24,$H24)
  )
 ),"
Missing")</f>
        <v xml:space="preserve">
Missing</v>
      </c>
      <c r="BA24" s="210" t="str">
        <f t="array" ref="BA24">IFERROR(
 INDEX(
  SCHEDULE!$A$1:$A$76,
   SMALL(
   IF(
    (ISNUMBER(SEARCH("A",SCHEDULE!AX$1:AX$76)))*
   ( (SCHEDULE!AW$1:AW$76=$B24)+(SCHEDULE!AW$1:AW$76=$C24)+(SCHEDULE!AW$1:AW$76=$D24)+(SCHEDULE!AW$1:AW$76=$E24)+(SCHEDULE!AW$1:AW$76=$F24)+ (SCHEDULE!AY$1:AY$76=$G24) ),
     ROW(SCHEDULE!CF$1:CF$76),
     ""
    ),COUNTIF($H$18:$H24,$H24)
  )
 ),"
Missing")</f>
        <v xml:space="preserve">
Missing</v>
      </c>
      <c r="BB24" s="210" t="str">
        <f t="array" ref="BB24">IFERROR(
 INDEX(
  SCHEDULE!$A$1:$A$76,
   SMALL(
   IF(
    (ISNUMBER(SEARCH("A",SCHEDULE!AY$1:AY$76)))*
   ( (SCHEDULE!AX$1:AX$76=$B24)+(SCHEDULE!AX$1:AX$76=$C24)+(SCHEDULE!AX$1:AX$76=$D24)+(SCHEDULE!AX$1:AX$76=$E24)+(SCHEDULE!AX$1:AX$76=$F24)+ (SCHEDULE!AZ$1:AZ$76=$G24) ),
     ROW(SCHEDULE!CG$1:CG$76),
     ""
    ),COUNTIF($H$18:$H24,$H24)
  )
 ),"
Missing")</f>
        <v xml:space="preserve">
Missing</v>
      </c>
      <c r="BC24" s="210" t="str">
        <f t="array" ref="BC24">IFERROR(
 INDEX(
  SCHEDULE!$A$1:$A$76,
   SMALL(
   IF(
    (ISNUMBER(SEARCH("A",SCHEDULE!AZ$1:AZ$76)))*
   ( (SCHEDULE!AY$1:AY$76=$B24)+(SCHEDULE!AY$1:AY$76=$C24)+(SCHEDULE!AY$1:AY$76=$D24)+(SCHEDULE!AY$1:AY$76=$E24)+(SCHEDULE!AY$1:AY$76=$F24)+ (SCHEDULE!BA$1:BA$76=$G24) ),
     ROW(SCHEDULE!CH$1:CH$76),
     ""
    ),COUNTIF($H$18:$H24,$H24)
  )
 ),"
Missing")</f>
        <v xml:space="preserve">
Missing</v>
      </c>
      <c r="BD24" s="210" t="str">
        <f t="array" ref="BD24">IFERROR(
 INDEX(
  SCHEDULE!$A$1:$A$76,
   SMALL(
   IF(
    (ISNUMBER(SEARCH("A",SCHEDULE!BA$1:BA$76)))*
   ( (SCHEDULE!AZ$1:AZ$76=$B24)+(SCHEDULE!AZ$1:AZ$76=$C24)+(SCHEDULE!AZ$1:AZ$76=$D24)+(SCHEDULE!AZ$1:AZ$76=$E24)+(SCHEDULE!AZ$1:AZ$76=$F24)+ (SCHEDULE!BB$1:BB$76=$G24) ),
     ROW(SCHEDULE!CI$1:CI$76),
     ""
    ),COUNTIF($H$18:$H24,$H24)
  )
 ),"
Missing")</f>
        <v xml:space="preserve">
Missing</v>
      </c>
      <c r="BE24" s="210" t="str">
        <f t="array" ref="BE24">IFERROR(
 INDEX(
  SCHEDULE!$A$1:$A$76,
   SMALL(
   IF(
    (ISNUMBER(SEARCH("A",SCHEDULE!BB$1:BB$76)))*
   ( (SCHEDULE!BA$1:BA$76=$B24)+(SCHEDULE!BA$1:BA$76=$C24)+(SCHEDULE!BA$1:BA$76=$D24)+(SCHEDULE!BA$1:BA$76=$E24)+(SCHEDULE!BA$1:BA$76=$F24)+ (SCHEDULE!BC$1:BC$76=$G24) ),
     ROW(SCHEDULE!CJ$1:CJ$76),
     ""
    ),COUNTIF($H$18:$H24,$H24)
  )
 ),"
Missing")</f>
        <v xml:space="preserve">
Missing</v>
      </c>
    </row>
    <row r="25" spans="2:57" hidden="1" x14ac:dyDescent="0.2">
      <c r="B25" s="206">
        <v>0.58333333333333337</v>
      </c>
      <c r="C25" s="206" t="s">
        <v>89</v>
      </c>
      <c r="D25" s="206">
        <v>0.5</v>
      </c>
      <c r="E25" s="206">
        <v>0.54166666666666663</v>
      </c>
      <c r="F25" s="206">
        <v>0.70833333333333337</v>
      </c>
      <c r="G25" s="206" t="s">
        <v>86</v>
      </c>
      <c r="H25" s="207" t="s">
        <v>104</v>
      </c>
      <c r="I25" s="210" t="str">
        <f t="array" ref="I25">IFERROR(
 INDEX(
  SCHEDULE!$A$1:$A$76,
   SMALL(
   IF(
    (ISNUMBER(SEARCH("A",SCHEDULE!F$1:F$76)))*
   ( (SCHEDULE!E$1:E$76=$B25)+(SCHEDULE!E$1:E$76=$C25)+(SCHEDULE!E$1:E$76=$D25)+(SCHEDULE!E$1:E$76=$E25)+(SCHEDULE!E$1:E$76=$F25)+ (SCHEDULE!G$1:G$76=$G25) ),
     ROW(SCHEDULE!AN$1:AN$76),
     ""
    ),COUNTIF($H$18:$H25,$H25)
  )
 ),"
Missing")</f>
        <v xml:space="preserve">
Missing</v>
      </c>
      <c r="J25" s="210" t="str">
        <f t="array" ref="J25">IFERROR(
 INDEX(
  SCHEDULE!$A$1:$A$76,
   SMALL(
   IF(
    (ISNUMBER(SEARCH("A",SCHEDULE!G$1:G$76)))*
   ( (SCHEDULE!F$1:F$76=$B25)+(SCHEDULE!F$1:F$76=$C25)+(SCHEDULE!F$1:F$76=$D25)+(SCHEDULE!F$1:F$76=$E25)+(SCHEDULE!F$1:F$76=$F25)+ (SCHEDULE!H$1:H$76=$G25) ),
     ROW(SCHEDULE!AO$1:AO$76),
     ""
    ),COUNTIF($H$18:$H25,$H25)
  )
 ),"
Missing")</f>
        <v xml:space="preserve">
Missing</v>
      </c>
      <c r="K25" s="210" t="str">
        <f t="array" ref="K25">IFERROR(
 INDEX(
  SCHEDULE!$A$1:$A$76,
   SMALL(
   IF(
    (ISNUMBER(SEARCH("A",SCHEDULE!H$1:H$76)))*
   ( (SCHEDULE!G$1:G$76=$B25)+(SCHEDULE!G$1:G$76=$C25)+(SCHEDULE!G$1:G$76=$D25)+(SCHEDULE!G$1:G$76=$E25)+(SCHEDULE!G$1:G$76=$F25)+ (SCHEDULE!I$1:I$76=$G25) ),
     ROW(SCHEDULE!AP$1:AP$76),
     ""
    ),COUNTIF($H$18:$H25,$H25)
  )
 ),"
Missing")</f>
        <v xml:space="preserve">
Missing</v>
      </c>
      <c r="L25" s="210" t="str">
        <f t="array" ref="L25">IFERROR(
 INDEX(
  SCHEDULE!$A$1:$A$76,
   SMALL(
   IF(
    (ISNUMBER(SEARCH("A",SCHEDULE!I$1:I$76)))*
   ( (SCHEDULE!H$1:H$76=$B25)+(SCHEDULE!H$1:H$76=$C25)+(SCHEDULE!H$1:H$76=$D25)+(SCHEDULE!H$1:H$76=$E25)+(SCHEDULE!H$1:H$76=$F25)+ (SCHEDULE!J$1:J$76=$G25) ),
     ROW(SCHEDULE!AQ$1:AQ$76),
     ""
    ),COUNTIF($H$18:$H25,$H25)
  )
 ),"
Missing")</f>
        <v xml:space="preserve">
Missing</v>
      </c>
      <c r="M25" s="210" t="str">
        <f t="array" ref="M25">IFERROR(
 INDEX(
  SCHEDULE!$A$1:$A$76,
   SMALL(
   IF(
    (ISNUMBER(SEARCH("A",SCHEDULE!J$1:J$76)))*
   ( (SCHEDULE!I$1:I$76=$B25)+(SCHEDULE!I$1:I$76=$C25)+(SCHEDULE!I$1:I$76=$D25)+(SCHEDULE!I$1:I$76=$E25)+(SCHEDULE!I$1:I$76=$F25)+ (SCHEDULE!K$1:K$76=$G25) ),
     ROW(SCHEDULE!AR$1:AR$76),
     ""
    ),COUNTIF($H$18:$H25,$H25)
  )
 ),"
Missing")</f>
        <v xml:space="preserve">
Missing</v>
      </c>
      <c r="N25" s="210" t="str">
        <f t="array" ref="N25">IFERROR(
 INDEX(
  SCHEDULE!$A$1:$A$76,
   SMALL(
   IF(
    (ISNUMBER(SEARCH("A",SCHEDULE!K$1:K$76)))*
   ( (SCHEDULE!J$1:J$76=$B25)+(SCHEDULE!J$1:J$76=$C25)+(SCHEDULE!J$1:J$76=$D25)+(SCHEDULE!J$1:J$76=$E25)+(SCHEDULE!J$1:J$76=$F25)+ (SCHEDULE!L$1:L$76=$G25) ),
     ROW(SCHEDULE!AS$1:AS$76),
     ""
    ),COUNTIF($H$18:$H25,$H25)
  )
 ),"
Missing")</f>
        <v xml:space="preserve">
Missing</v>
      </c>
      <c r="O25" s="210" t="str">
        <f t="array" ref="O25">IFERROR(
 INDEX(
  SCHEDULE!$A$1:$A$76,
   SMALL(
   IF(
    (ISNUMBER(SEARCH("A",SCHEDULE!L$1:L$76)))*
   ( (SCHEDULE!K$1:K$76=$B25)+(SCHEDULE!K$1:K$76=$C25)+(SCHEDULE!K$1:K$76=$D25)+(SCHEDULE!K$1:K$76=$E25)+(SCHEDULE!K$1:K$76=$F25)+ (SCHEDULE!M$1:M$76=$G25) ),
     ROW(SCHEDULE!AT$1:AT$76),
     ""
    ),COUNTIF($H$18:$H25,$H25)
  )
 ),"
Missing")</f>
        <v xml:space="preserve">
Missing</v>
      </c>
      <c r="P25" s="210" t="str">
        <f t="array" ref="P25">IFERROR(
 INDEX(
  SCHEDULE!$A$1:$A$76,
   SMALL(
   IF(
    (ISNUMBER(SEARCH("A",SCHEDULE!M$1:M$76)))*
   ( (SCHEDULE!L$1:L$76=$B25)+(SCHEDULE!L$1:L$76=$C25)+(SCHEDULE!L$1:L$76=$D25)+(SCHEDULE!L$1:L$76=$E25)+(SCHEDULE!L$1:L$76=$F25)+ (SCHEDULE!N$1:N$76=$G25) ),
     ROW(SCHEDULE!AU$1:AU$76),
     ""
    ),COUNTIF($H$18:$H25,$H25)
  )
 ),"
Missing")</f>
        <v xml:space="preserve">
Missing</v>
      </c>
      <c r="Q25" s="210" t="str">
        <f t="array" ref="Q25">IFERROR(
 INDEX(
  SCHEDULE!$A$1:$A$76,
   SMALL(
   IF(
    (ISNUMBER(SEARCH("A",SCHEDULE!N$1:N$76)))*
   ( (SCHEDULE!M$1:M$76=$B25)+(SCHEDULE!M$1:M$76=$C25)+(SCHEDULE!M$1:M$76=$D25)+(SCHEDULE!M$1:M$76=$E25)+(SCHEDULE!M$1:M$76=$F25)+ (SCHEDULE!O$1:O$76=$G25) ),
     ROW(SCHEDULE!AV$1:AV$76),
     ""
    ),COUNTIF($H$18:$H25,$H25)
  )
 ),"
Missing")</f>
        <v xml:space="preserve">
Missing</v>
      </c>
      <c r="R25" s="210" t="str">
        <f t="array" ref="R25">IFERROR(
 INDEX(
  SCHEDULE!$A$1:$A$76,
   SMALL(
   IF(
    (ISNUMBER(SEARCH("A",SCHEDULE!O$1:O$76)))*
   ( (SCHEDULE!N$1:N$76=$B25)+(SCHEDULE!N$1:N$76=$C25)+(SCHEDULE!N$1:N$76=$D25)+(SCHEDULE!N$1:N$76=$E25)+(SCHEDULE!N$1:N$76=$F25)+ (SCHEDULE!P$1:P$76=$G25) ),
     ROW(SCHEDULE!AW$1:AW$76),
     ""
    ),COUNTIF($H$18:$H25,$H25)
  )
 ),"
Missing")</f>
        <v xml:space="preserve">
Missing</v>
      </c>
      <c r="S25" s="210" t="str">
        <f t="array" ref="S25">IFERROR(
 INDEX(
  SCHEDULE!$A$1:$A$76,
   SMALL(
   IF(
    (ISNUMBER(SEARCH("A",SCHEDULE!P$1:P$76)))*
   ( (SCHEDULE!O$1:O$76=$B25)+(SCHEDULE!O$1:O$76=$C25)+(SCHEDULE!O$1:O$76=$D25)+(SCHEDULE!O$1:O$76=$E25)+(SCHEDULE!O$1:O$76=$F25)+ (SCHEDULE!Q$1:Q$76=$G25) ),
     ROW(SCHEDULE!AX$1:AX$76),
     ""
    ),COUNTIF($H$18:$H25,$H25)
  )
 ),"
Missing")</f>
        <v xml:space="preserve">
Missing</v>
      </c>
      <c r="T25" s="210" t="str">
        <f t="array" ref="T25">IFERROR(
 INDEX(
  SCHEDULE!$A$1:$A$76,
   SMALL(
   IF(
    (ISNUMBER(SEARCH("A",SCHEDULE!Q$1:Q$76)))*
   ( (SCHEDULE!P$1:P$76=$B25)+(SCHEDULE!P$1:P$76=$C25)+(SCHEDULE!P$1:P$76=$D25)+(SCHEDULE!P$1:P$76=$E25)+(SCHEDULE!P$1:P$76=$F25)+ (SCHEDULE!R$1:R$76=$G25) ),
     ROW(SCHEDULE!AY$1:AY$76),
     ""
    ),COUNTIF($H$18:$H25,$H25)
  )
 ),"
Missing")</f>
        <v xml:space="preserve">
Missing</v>
      </c>
      <c r="U25" s="210" t="str">
        <f t="array" ref="U25">IFERROR(
 INDEX(
  SCHEDULE!$A$1:$A$76,
   SMALL(
   IF(
    (ISNUMBER(SEARCH("A",SCHEDULE!R$1:R$76)))*
   ( (SCHEDULE!Q$1:Q$76=$B25)+(SCHEDULE!Q$1:Q$76=$C25)+(SCHEDULE!Q$1:Q$76=$D25)+(SCHEDULE!Q$1:Q$76=$E25)+(SCHEDULE!Q$1:Q$76=$F25)+ (SCHEDULE!S$1:S$76=$G25) ),
     ROW(SCHEDULE!AZ$1:AZ$76),
     ""
    ),COUNTIF($H$18:$H25,$H25)
  )
 ),"
Missing")</f>
        <v xml:space="preserve">
Missing</v>
      </c>
      <c r="V25" s="210" t="str">
        <f t="array" ref="V25">IFERROR(
 INDEX(
  SCHEDULE!$A$1:$A$76,
   SMALL(
   IF(
    (ISNUMBER(SEARCH("A",SCHEDULE!S$1:S$76)))*
   ( (SCHEDULE!R$1:R$76=$B25)+(SCHEDULE!R$1:R$76=$C25)+(SCHEDULE!R$1:R$76=$D25)+(SCHEDULE!R$1:R$76=$E25)+(SCHEDULE!R$1:R$76=$F25)+ (SCHEDULE!T$1:T$76=$G25) ),
     ROW(SCHEDULE!BA$1:BA$76),
     ""
    ),COUNTIF($H$18:$H25,$H25)
  )
 ),"
Missing")</f>
        <v xml:space="preserve">
Missing</v>
      </c>
      <c r="W25" s="210" t="str">
        <f t="array" ref="W25">IFERROR(
 INDEX(
  SCHEDULE!$A$1:$A$76,
   SMALL(
   IF(
    (ISNUMBER(SEARCH("A",SCHEDULE!T$1:T$76)))*
   ( (SCHEDULE!S$1:S$76=$B25)+(SCHEDULE!S$1:S$76=$C25)+(SCHEDULE!S$1:S$76=$D25)+(SCHEDULE!S$1:S$76=$E25)+(SCHEDULE!S$1:S$76=$F25)+ (SCHEDULE!U$1:U$76=$G25) ),
     ROW(SCHEDULE!BB$1:BB$76),
     ""
    ),COUNTIF($H$18:$H25,$H25)
  )
 ),"
Missing")</f>
        <v xml:space="preserve">
Missing</v>
      </c>
      <c r="X25" s="210" t="str">
        <f t="array" ref="X25">IFERROR(
 INDEX(
  SCHEDULE!$A$1:$A$76,
   SMALL(
   IF(
    (ISNUMBER(SEARCH("A",SCHEDULE!U$1:U$76)))*
   ( (SCHEDULE!T$1:T$76=$B25)+(SCHEDULE!T$1:T$76=$C25)+(SCHEDULE!T$1:T$76=$D25)+(SCHEDULE!T$1:T$76=$E25)+(SCHEDULE!T$1:T$76=$F25)+ (SCHEDULE!V$1:V$76=$G25) ),
     ROW(SCHEDULE!BC$1:BC$76),
     ""
    ),COUNTIF($H$18:$H25,$H25)
  )
 ),"
Missing")</f>
        <v xml:space="preserve">
Missing</v>
      </c>
      <c r="Y25" s="210" t="str">
        <f t="array" ref="Y25">IFERROR(
 INDEX(
  SCHEDULE!$A$1:$A$76,
   SMALL(
   IF(
    (ISNUMBER(SEARCH("A",SCHEDULE!V$1:V$76)))*
   ( (SCHEDULE!U$1:U$76=$B25)+(SCHEDULE!U$1:U$76=$C25)+(SCHEDULE!U$1:U$76=$D25)+(SCHEDULE!U$1:U$76=$E25)+(SCHEDULE!U$1:U$76=$F25)+ (SCHEDULE!W$1:W$76=$G25) ),
     ROW(SCHEDULE!BD$1:BD$76),
     ""
    ),COUNTIF($H$18:$H25,$H25)
  )
 ),"
Missing")</f>
        <v xml:space="preserve">
Missing</v>
      </c>
      <c r="Z25" s="210" t="str">
        <f t="array" ref="Z25">IFERROR(
 INDEX(
  SCHEDULE!$A$1:$A$76,
   SMALL(
   IF(
    (ISNUMBER(SEARCH("A",SCHEDULE!W$1:W$76)))*
   ( (SCHEDULE!V$1:V$76=$B25)+(SCHEDULE!V$1:V$76=$C25)+(SCHEDULE!V$1:V$76=$D25)+(SCHEDULE!V$1:V$76=$E25)+(SCHEDULE!V$1:V$76=$F25)+ (SCHEDULE!X$1:X$76=$G25) ),
     ROW(SCHEDULE!BE$1:BE$76),
     ""
    ),COUNTIF($H$18:$H25,$H25)
  )
 ),"
Missing")</f>
        <v xml:space="preserve">
Missing</v>
      </c>
      <c r="AA25" s="210" t="str">
        <f t="array" ref="AA25">IFERROR(
 INDEX(
  SCHEDULE!$A$1:$A$76,
   SMALL(
   IF(
    (ISNUMBER(SEARCH("A",SCHEDULE!X$1:X$76)))*
   ( (SCHEDULE!W$1:W$76=$B25)+(SCHEDULE!W$1:W$76=$C25)+(SCHEDULE!W$1:W$76=$D25)+(SCHEDULE!W$1:W$76=$E25)+(SCHEDULE!W$1:W$76=$F25)+ (SCHEDULE!Y$1:Y$76=$G25) ),
     ROW(SCHEDULE!BF$1:BF$76),
     ""
    ),COUNTIF($H$18:$H25,$H25)
  )
 ),"
Missing")</f>
        <v xml:space="preserve">
Missing</v>
      </c>
      <c r="AB25" s="210" t="str">
        <f t="array" ref="AB25">IFERROR(
 INDEX(
  SCHEDULE!$A$1:$A$76,
   SMALL(
   IF(
    (ISNUMBER(SEARCH("A",SCHEDULE!Y$1:Y$76)))*
   ( (SCHEDULE!X$1:X$76=$B25)+(SCHEDULE!X$1:X$76=$C25)+(SCHEDULE!X$1:X$76=$D25)+(SCHEDULE!X$1:X$76=$E25)+(SCHEDULE!X$1:X$76=$F25)+ (SCHEDULE!Z$1:Z$76=$G25) ),
     ROW(SCHEDULE!BG$1:BG$76),
     ""
    ),COUNTIF($H$18:$H25,$H25)
  )
 ),"
Missing")</f>
        <v xml:space="preserve">
Missing</v>
      </c>
      <c r="AC25" s="210" t="str">
        <f t="array" ref="AC25">IFERROR(
 INDEX(
  SCHEDULE!$A$1:$A$76,
   SMALL(
   IF(
    (ISNUMBER(SEARCH("A",SCHEDULE!Z$1:Z$76)))*
   ( (SCHEDULE!Y$1:Y$76=$B25)+(SCHEDULE!Y$1:Y$76=$C25)+(SCHEDULE!Y$1:Y$76=$D25)+(SCHEDULE!Y$1:Y$76=$E25)+(SCHEDULE!Y$1:Y$76=$F25)+ (SCHEDULE!AA$1:AA$76=$G25) ),
     ROW(SCHEDULE!BH$1:BH$76),
     ""
    ),COUNTIF($H$18:$H25,$H25)
  )
 ),"
Missing")</f>
        <v xml:space="preserve">
Missing</v>
      </c>
      <c r="AD25" s="210" t="str">
        <f t="array" ref="AD25">IFERROR(
 INDEX(
  SCHEDULE!$A$1:$A$76,
   SMALL(
   IF(
    (ISNUMBER(SEARCH("A",SCHEDULE!AA$1:AA$76)))*
   ( (SCHEDULE!Z$1:Z$76=$B25)+(SCHEDULE!Z$1:Z$76=$C25)+(SCHEDULE!Z$1:Z$76=$D25)+(SCHEDULE!Z$1:Z$76=$E25)+(SCHEDULE!Z$1:Z$76=$F25)+ (SCHEDULE!AB$1:AB$76=$G25) ),
     ROW(SCHEDULE!BI$1:BI$76),
     ""
    ),COUNTIF($H$18:$H25,$H25)
  )
 ),"
Missing")</f>
        <v xml:space="preserve">
Missing</v>
      </c>
      <c r="AE25" s="210" t="str">
        <f t="array" ref="AE25">IFERROR(
 INDEX(
  SCHEDULE!$A$1:$A$76,
   SMALL(
   IF(
    (ISNUMBER(SEARCH("A",SCHEDULE!AB$1:AB$76)))*
   ( (SCHEDULE!AA$1:AA$76=$B25)+(SCHEDULE!AA$1:AA$76=$C25)+(SCHEDULE!AA$1:AA$76=$D25)+(SCHEDULE!AA$1:AA$76=$E25)+(SCHEDULE!AA$1:AA$76=$F25)+ (SCHEDULE!AC$1:AC$76=$G25) ),
     ROW(SCHEDULE!BJ$1:BJ$76),
     ""
    ),COUNTIF($H$18:$H25,$H25)
  )
 ),"
Missing")</f>
        <v xml:space="preserve">
Missing</v>
      </c>
      <c r="AF25" s="210" t="str">
        <f t="array" ref="AF25">IFERROR(
 INDEX(
  SCHEDULE!$A$1:$A$76,
   SMALL(
   IF(
    (ISNUMBER(SEARCH("A",SCHEDULE!AC$1:AC$76)))*
   ( (SCHEDULE!AB$1:AB$76=$B25)+(SCHEDULE!AB$1:AB$76=$C25)+(SCHEDULE!AB$1:AB$76=$D25)+(SCHEDULE!AB$1:AB$76=$E25)+(SCHEDULE!AB$1:AB$76=$F25)+ (SCHEDULE!AD$1:AD$76=$G25) ),
     ROW(SCHEDULE!BK$1:BK$76),
     ""
    ),COUNTIF($H$18:$H25,$H25)
  )
 ),"
Missing")</f>
        <v xml:space="preserve">
Missing</v>
      </c>
      <c r="AG25" s="210" t="str">
        <f t="array" ref="AG25">IFERROR(
 INDEX(
  SCHEDULE!$A$1:$A$76,
   SMALL(
   IF(
    (ISNUMBER(SEARCH("A",SCHEDULE!AD$1:AD$76)))*
   ( (SCHEDULE!AC$1:AC$76=$B25)+(SCHEDULE!AC$1:AC$76=$C25)+(SCHEDULE!AC$1:AC$76=$D25)+(SCHEDULE!AC$1:AC$76=$E25)+(SCHEDULE!AC$1:AC$76=$F25)+ (SCHEDULE!AE$1:AE$76=$G25) ),
     ROW(SCHEDULE!BL$1:BL$76),
     ""
    ),COUNTIF($H$18:$H25,$H25)
  )
 ),"
Missing")</f>
        <v xml:space="preserve">
Missing</v>
      </c>
      <c r="AH25" s="210" t="str">
        <f t="array" ref="AH25">IFERROR(
 INDEX(
  SCHEDULE!$A$1:$A$76,
   SMALL(
   IF(
    (ISNUMBER(SEARCH("A",SCHEDULE!AE$1:AE$76)))*
   ( (SCHEDULE!AD$1:AD$76=$B25)+(SCHEDULE!AD$1:AD$76=$C25)+(SCHEDULE!AD$1:AD$76=$D25)+(SCHEDULE!AD$1:AD$76=$E25)+(SCHEDULE!AD$1:AD$76=$F25)+ (SCHEDULE!AF$1:AF$76=$G25) ),
     ROW(SCHEDULE!BM$1:BM$76),
     ""
    ),COUNTIF($H$18:$H25,$H25)
  )
 ),"
Missing")</f>
        <v xml:space="preserve">
Missing</v>
      </c>
      <c r="AI25" s="210" t="str">
        <f t="array" ref="AI25">IFERROR(
 INDEX(
  SCHEDULE!$A$1:$A$76,
   SMALL(
   IF(
    (ISNUMBER(SEARCH("A",SCHEDULE!AF$1:AF$76)))*
   ( (SCHEDULE!AE$1:AE$76=$B25)+(SCHEDULE!AE$1:AE$76=$C25)+(SCHEDULE!AE$1:AE$76=$D25)+(SCHEDULE!AE$1:AE$76=$E25)+(SCHEDULE!AE$1:AE$76=$F25)+ (SCHEDULE!AG$1:AG$76=$G25) ),
     ROW(SCHEDULE!BN$1:BN$76),
     ""
    ),COUNTIF($H$18:$H25,$H25)
  )
 ),"
Missing")</f>
        <v xml:space="preserve">
Missing</v>
      </c>
      <c r="AJ25" s="210" t="str">
        <f t="array" ref="AJ25">IFERROR(
 INDEX(
  SCHEDULE!$A$1:$A$76,
   SMALL(
   IF(
    (ISNUMBER(SEARCH("A",SCHEDULE!AG$1:AG$76)))*
   ( (SCHEDULE!AF$1:AF$76=$B25)+(SCHEDULE!AF$1:AF$76=$C25)+(SCHEDULE!AF$1:AF$76=$D25)+(SCHEDULE!AF$1:AF$76=$E25)+(SCHEDULE!AF$1:AF$76=$F25)+ (SCHEDULE!AH$1:AH$76=$G25) ),
     ROW(SCHEDULE!BO$1:BO$76),
     ""
    ),COUNTIF($H$18:$H25,$H25)
  )
 ),"
Missing")</f>
        <v xml:space="preserve">
Missing</v>
      </c>
      <c r="AK25" s="210" t="str">
        <f t="array" ref="AK25">IFERROR(
 INDEX(
  SCHEDULE!$A$1:$A$76,
   SMALL(
   IF(
    (ISNUMBER(SEARCH("A",SCHEDULE!AH$1:AH$76)))*
   ( (SCHEDULE!AG$1:AG$76=$B25)+(SCHEDULE!AG$1:AG$76=$C25)+(SCHEDULE!AG$1:AG$76=$D25)+(SCHEDULE!AG$1:AG$76=$E25)+(SCHEDULE!AG$1:AG$76=$F25)+ (SCHEDULE!AI$1:AI$76=$G25) ),
     ROW(SCHEDULE!BP$1:BP$76),
     ""
    ),COUNTIF($H$18:$H25,$H25)
  )
 ),"
Missing")</f>
        <v xml:space="preserve">
Missing</v>
      </c>
      <c r="AL25" s="210" t="str">
        <f t="array" ref="AL25">IFERROR(
 INDEX(
  SCHEDULE!$A$1:$A$76,
   SMALL(
   IF(
    (ISNUMBER(SEARCH("A",SCHEDULE!AI$1:AI$76)))*
   ( (SCHEDULE!AH$1:AH$76=$B25)+(SCHEDULE!AH$1:AH$76=$C25)+(SCHEDULE!AH$1:AH$76=$D25)+(SCHEDULE!AH$1:AH$76=$E25)+(SCHEDULE!AH$1:AH$76=$F25)+ (SCHEDULE!AJ$1:AJ$76=$G25) ),
     ROW(SCHEDULE!BQ$1:BQ$76),
     ""
    ),COUNTIF($H$18:$H25,$H25)
  )
 ),"
Missing")</f>
        <v xml:space="preserve">
Missing</v>
      </c>
      <c r="AM25" s="210" t="str">
        <f t="array" ref="AM25">IFERROR(
 INDEX(
  SCHEDULE!$A$1:$A$76,
   SMALL(
   IF(
    (ISNUMBER(SEARCH("A",SCHEDULE!AJ$1:AJ$76)))*
   ( (SCHEDULE!AI$1:AI$76=$B25)+(SCHEDULE!AI$1:AI$76=$C25)+(SCHEDULE!AI$1:AI$76=$D25)+(SCHEDULE!AI$1:AI$76=$E25)+(SCHEDULE!AI$1:AI$76=$F25)+ (SCHEDULE!AK$1:AK$76=$G25) ),
     ROW(SCHEDULE!BR$1:BR$76),
     ""
    ),COUNTIF($H$18:$H25,$H25)
  )
 ),"
Missing")</f>
        <v xml:space="preserve">
Missing</v>
      </c>
      <c r="AN25" s="210" t="str">
        <f t="array" ref="AN25">IFERROR(
 INDEX(
  SCHEDULE!$A$1:$A$76,
   SMALL(
   IF(
    (ISNUMBER(SEARCH("A",SCHEDULE!AK$1:AK$76)))*
   ( (SCHEDULE!AJ$1:AJ$76=$B25)+(SCHEDULE!AJ$1:AJ$76=$C25)+(SCHEDULE!AJ$1:AJ$76=$D25)+(SCHEDULE!AJ$1:AJ$76=$E25)+(SCHEDULE!AJ$1:AJ$76=$F25)+ (SCHEDULE!AL$1:AL$76=$G25) ),
     ROW(SCHEDULE!BS$1:BS$76),
     ""
    ),COUNTIF($H$18:$H25,$H25)
  )
 ),"
Missing")</f>
        <v xml:space="preserve">
Missing</v>
      </c>
      <c r="AO25" s="210" t="str">
        <f t="array" ref="AO25">IFERROR(
 INDEX(
  SCHEDULE!$A$1:$A$76,
   SMALL(
   IF(
    (ISNUMBER(SEARCH("A",SCHEDULE!AL$1:AL$76)))*
   ( (SCHEDULE!AK$1:AK$76=$B25)+(SCHEDULE!AK$1:AK$76=$C25)+(SCHEDULE!AK$1:AK$76=$D25)+(SCHEDULE!AK$1:AK$76=$E25)+(SCHEDULE!AK$1:AK$76=$F25)+ (SCHEDULE!AM$1:AM$76=$G25) ),
     ROW(SCHEDULE!BT$1:BT$76),
     ""
    ),COUNTIF($H$18:$H25,$H25)
  )
 ),"
Missing")</f>
        <v xml:space="preserve">
Missing</v>
      </c>
      <c r="AP25" s="210" t="str">
        <f t="array" ref="AP25">IFERROR(
 INDEX(
  SCHEDULE!$A$1:$A$76,
   SMALL(
   IF(
    (ISNUMBER(SEARCH("A",SCHEDULE!AM$1:AM$76)))*
   ( (SCHEDULE!AL$1:AL$76=$B25)+(SCHEDULE!AL$1:AL$76=$C25)+(SCHEDULE!AL$1:AL$76=$D25)+(SCHEDULE!AL$1:AL$76=$E25)+(SCHEDULE!AL$1:AL$76=$F25)+ (SCHEDULE!AN$1:AN$76=$G25) ),
     ROW(SCHEDULE!BU$1:BU$76),
     ""
    ),COUNTIF($H$18:$H25,$H25)
  )
 ),"
Missing")</f>
        <v xml:space="preserve">
Missing</v>
      </c>
      <c r="AQ25" s="210" t="str">
        <f t="array" ref="AQ25">IFERROR(
 INDEX(
  SCHEDULE!$A$1:$A$76,
   SMALL(
   IF(
    (ISNUMBER(SEARCH("A",SCHEDULE!AN$1:AN$76)))*
   ( (SCHEDULE!AM$1:AM$76=$B25)+(SCHEDULE!AM$1:AM$76=$C25)+(SCHEDULE!AM$1:AM$76=$D25)+(SCHEDULE!AM$1:AM$76=$E25)+(SCHEDULE!AM$1:AM$76=$F25)+ (SCHEDULE!AO$1:AO$76=$G25) ),
     ROW(SCHEDULE!BV$1:BV$76),
     ""
    ),COUNTIF($H$18:$H25,$H25)
  )
 ),"
Missing")</f>
        <v xml:space="preserve">
Missing</v>
      </c>
      <c r="AR25" s="210" t="str">
        <f t="array" ref="AR25">IFERROR(
 INDEX(
  SCHEDULE!$A$1:$A$76,
   SMALL(
   IF(
    (ISNUMBER(SEARCH("A",SCHEDULE!AO$1:AO$76)))*
   ( (SCHEDULE!AN$1:AN$76=$B25)+(SCHEDULE!AN$1:AN$76=$C25)+(SCHEDULE!AN$1:AN$76=$D25)+(SCHEDULE!AN$1:AN$76=$E25)+(SCHEDULE!AN$1:AN$76=$F25)+ (SCHEDULE!AP$1:AP$76=$G25) ),
     ROW(SCHEDULE!BW$1:BW$76),
     ""
    ),COUNTIF($H$18:$H25,$H25)
  )
 ),"
Missing")</f>
        <v xml:space="preserve">
Missing</v>
      </c>
      <c r="AS25" s="210" t="str">
        <f t="array" ref="AS25">IFERROR(
 INDEX(
  SCHEDULE!$A$1:$A$76,
   SMALL(
   IF(
    (ISNUMBER(SEARCH("A",SCHEDULE!AP$1:AP$76)))*
   ( (SCHEDULE!AO$1:AO$76=$B25)+(SCHEDULE!AO$1:AO$76=$C25)+(SCHEDULE!AO$1:AO$76=$D25)+(SCHEDULE!AO$1:AO$76=$E25)+(SCHEDULE!AO$1:AO$76=$F25)+ (SCHEDULE!AQ$1:AQ$76=$G25) ),
     ROW(SCHEDULE!BX$1:BX$76),
     ""
    ),COUNTIF($H$18:$H25,$H25)
  )
 ),"
Missing")</f>
        <v xml:space="preserve">
Missing</v>
      </c>
      <c r="AT25" s="210" t="str">
        <f t="array" ref="AT25">IFERROR(
 INDEX(
  SCHEDULE!$A$1:$A$76,
   SMALL(
   IF(
    (ISNUMBER(SEARCH("A",SCHEDULE!AQ$1:AQ$76)))*
   ( (SCHEDULE!AP$1:AP$76=$B25)+(SCHEDULE!AP$1:AP$76=$C25)+(SCHEDULE!AP$1:AP$76=$D25)+(SCHEDULE!AP$1:AP$76=$E25)+(SCHEDULE!AP$1:AP$76=$F25)+ (SCHEDULE!AR$1:AR$76=$G25) ),
     ROW(SCHEDULE!BY$1:BY$76),
     ""
    ),COUNTIF($H$18:$H25,$H25)
  )
 ),"
Missing")</f>
        <v xml:space="preserve">
Missing</v>
      </c>
      <c r="AU25" s="210" t="str">
        <f t="array" ref="AU25">IFERROR(
 INDEX(
  SCHEDULE!$A$1:$A$76,
   SMALL(
   IF(
    (ISNUMBER(SEARCH("A",SCHEDULE!AR$1:AR$76)))*
   ( (SCHEDULE!AQ$1:AQ$76=$B25)+(SCHEDULE!AQ$1:AQ$76=$C25)+(SCHEDULE!AQ$1:AQ$76=$D25)+(SCHEDULE!AQ$1:AQ$76=$E25)+(SCHEDULE!AQ$1:AQ$76=$F25)+ (SCHEDULE!AS$1:AS$76=$G25) ),
     ROW(SCHEDULE!BZ$1:BZ$76),
     ""
    ),COUNTIF($H$18:$H25,$H25)
  )
 ),"
Missing")</f>
        <v xml:space="preserve">
Missing</v>
      </c>
      <c r="AV25" s="210" t="str">
        <f t="array" ref="AV25">IFERROR(
 INDEX(
  SCHEDULE!$A$1:$A$76,
   SMALL(
   IF(
    (ISNUMBER(SEARCH("A",SCHEDULE!AS$1:AS$76)))*
   ( (SCHEDULE!AR$1:AR$76=$B25)+(SCHEDULE!AR$1:AR$76=$C25)+(SCHEDULE!AR$1:AR$76=$D25)+(SCHEDULE!AR$1:AR$76=$E25)+(SCHEDULE!AR$1:AR$76=$F25)+ (SCHEDULE!AT$1:AT$76=$G25) ),
     ROW(SCHEDULE!CA$1:CA$76),
     ""
    ),COUNTIF($H$18:$H25,$H25)
  )
 ),"
Missing")</f>
        <v xml:space="preserve">
Missing</v>
      </c>
      <c r="AW25" s="210" t="str">
        <f t="array" ref="AW25">IFERROR(
 INDEX(
  SCHEDULE!$A$1:$A$76,
   SMALL(
   IF(
    (ISNUMBER(SEARCH("A",SCHEDULE!AT$1:AT$76)))*
   ( (SCHEDULE!AS$1:AS$76=$B25)+(SCHEDULE!AS$1:AS$76=$C25)+(SCHEDULE!AS$1:AS$76=$D25)+(SCHEDULE!AS$1:AS$76=$E25)+(SCHEDULE!AS$1:AS$76=$F25)+ (SCHEDULE!AU$1:AU$76=$G25) ),
     ROW(SCHEDULE!CB$1:CB$76),
     ""
    ),COUNTIF($H$18:$H25,$H25)
  )
 ),"
Missing")</f>
        <v xml:space="preserve">
Missing</v>
      </c>
      <c r="AX25" s="210" t="str">
        <f t="array" ref="AX25">IFERROR(
 INDEX(
  SCHEDULE!$A$1:$A$76,
   SMALL(
   IF(
    (ISNUMBER(SEARCH("A",SCHEDULE!AU$1:AU$76)))*
   ( (SCHEDULE!AT$1:AT$76=$B25)+(SCHEDULE!AT$1:AT$76=$C25)+(SCHEDULE!AT$1:AT$76=$D25)+(SCHEDULE!AT$1:AT$76=$E25)+(SCHEDULE!AT$1:AT$76=$F25)+ (SCHEDULE!AV$1:AV$76=$G25) ),
     ROW(SCHEDULE!CC$1:CC$76),
     ""
    ),COUNTIF($H$18:$H25,$H25)
  )
 ),"
Missing")</f>
        <v xml:space="preserve">
Missing</v>
      </c>
      <c r="AY25" s="210" t="str">
        <f t="array" ref="AY25">IFERROR(
 INDEX(
  SCHEDULE!$A$1:$A$76,
   SMALL(
   IF(
    (ISNUMBER(SEARCH("A",SCHEDULE!AV$1:AV$76)))*
   ( (SCHEDULE!AU$1:AU$76=$B25)+(SCHEDULE!AU$1:AU$76=$C25)+(SCHEDULE!AU$1:AU$76=$D25)+(SCHEDULE!AU$1:AU$76=$E25)+(SCHEDULE!AU$1:AU$76=$F25)+ (SCHEDULE!AW$1:AW$76=$G25) ),
     ROW(SCHEDULE!CD$1:CD$76),
     ""
    ),COUNTIF($H$18:$H25,$H25)
  )
 ),"
Missing")</f>
        <v xml:space="preserve">
Missing</v>
      </c>
      <c r="AZ25" s="210" t="str">
        <f t="array" ref="AZ25">IFERROR(
 INDEX(
  SCHEDULE!$A$1:$A$76,
   SMALL(
   IF(
    (ISNUMBER(SEARCH("A",SCHEDULE!AW$1:AW$76)))*
   ( (SCHEDULE!AV$1:AV$76=$B25)+(SCHEDULE!AV$1:AV$76=$C25)+(SCHEDULE!AV$1:AV$76=$D25)+(SCHEDULE!AV$1:AV$76=$E25)+(SCHEDULE!AV$1:AV$76=$F25)+ (SCHEDULE!AX$1:AX$76=$G25) ),
     ROW(SCHEDULE!CE$1:CE$76),
     ""
    ),COUNTIF($H$18:$H25,$H25)
  )
 ),"
Missing")</f>
        <v xml:space="preserve">
Missing</v>
      </c>
      <c r="BA25" s="210" t="str">
        <f t="array" ref="BA25">IFERROR(
 INDEX(
  SCHEDULE!$A$1:$A$76,
   SMALL(
   IF(
    (ISNUMBER(SEARCH("A",SCHEDULE!AX$1:AX$76)))*
   ( (SCHEDULE!AW$1:AW$76=$B25)+(SCHEDULE!AW$1:AW$76=$C25)+(SCHEDULE!AW$1:AW$76=$D25)+(SCHEDULE!AW$1:AW$76=$E25)+(SCHEDULE!AW$1:AW$76=$F25)+ (SCHEDULE!AY$1:AY$76=$G25) ),
     ROW(SCHEDULE!CF$1:CF$76),
     ""
    ),COUNTIF($H$18:$H25,$H25)
  )
 ),"
Missing")</f>
        <v xml:space="preserve">
Missing</v>
      </c>
      <c r="BB25" s="210" t="str">
        <f t="array" ref="BB25">IFERROR(
 INDEX(
  SCHEDULE!$A$1:$A$76,
   SMALL(
   IF(
    (ISNUMBER(SEARCH("A",SCHEDULE!AY$1:AY$76)))*
   ( (SCHEDULE!AX$1:AX$76=$B25)+(SCHEDULE!AX$1:AX$76=$C25)+(SCHEDULE!AX$1:AX$76=$D25)+(SCHEDULE!AX$1:AX$76=$E25)+(SCHEDULE!AX$1:AX$76=$F25)+ (SCHEDULE!AZ$1:AZ$76=$G25) ),
     ROW(SCHEDULE!CG$1:CG$76),
     ""
    ),COUNTIF($H$18:$H25,$H25)
  )
 ),"
Missing")</f>
        <v xml:space="preserve">
Missing</v>
      </c>
      <c r="BC25" s="210" t="str">
        <f t="array" ref="BC25">IFERROR(
 INDEX(
  SCHEDULE!$A$1:$A$76,
   SMALL(
   IF(
    (ISNUMBER(SEARCH("A",SCHEDULE!AZ$1:AZ$76)))*
   ( (SCHEDULE!AY$1:AY$76=$B25)+(SCHEDULE!AY$1:AY$76=$C25)+(SCHEDULE!AY$1:AY$76=$D25)+(SCHEDULE!AY$1:AY$76=$E25)+(SCHEDULE!AY$1:AY$76=$F25)+ (SCHEDULE!BA$1:BA$76=$G25) ),
     ROW(SCHEDULE!CH$1:CH$76),
     ""
    ),COUNTIF($H$18:$H25,$H25)
  )
 ),"
Missing")</f>
        <v xml:space="preserve">
Missing</v>
      </c>
      <c r="BD25" s="210" t="str">
        <f t="array" ref="BD25">IFERROR(
 INDEX(
  SCHEDULE!$A$1:$A$76,
   SMALL(
   IF(
    (ISNUMBER(SEARCH("A",SCHEDULE!BA$1:BA$76)))*
   ( (SCHEDULE!AZ$1:AZ$76=$B25)+(SCHEDULE!AZ$1:AZ$76=$C25)+(SCHEDULE!AZ$1:AZ$76=$D25)+(SCHEDULE!AZ$1:AZ$76=$E25)+(SCHEDULE!AZ$1:AZ$76=$F25)+ (SCHEDULE!BB$1:BB$76=$G25) ),
     ROW(SCHEDULE!CI$1:CI$76),
     ""
    ),COUNTIF($H$18:$H25,$H25)
  )
 ),"
Missing")</f>
        <v xml:space="preserve">
Missing</v>
      </c>
      <c r="BE25" s="210" t="str">
        <f t="array" ref="BE25">IFERROR(
 INDEX(
  SCHEDULE!$A$1:$A$76,
   SMALL(
   IF(
    (ISNUMBER(SEARCH("A",SCHEDULE!BB$1:BB$76)))*
   ( (SCHEDULE!BA$1:BA$76=$B25)+(SCHEDULE!BA$1:BA$76=$C25)+(SCHEDULE!BA$1:BA$76=$D25)+(SCHEDULE!BA$1:BA$76=$E25)+(SCHEDULE!BA$1:BA$76=$F25)+ (SCHEDULE!BC$1:BC$76=$G25) ),
     ROW(SCHEDULE!CJ$1:CJ$76),
     ""
    ),COUNTIF($H$18:$H25,$H25)
  )
 ),"
Missing")</f>
        <v xml:space="preserve">
Missing</v>
      </c>
    </row>
    <row r="26" spans="2:57" x14ac:dyDescent="0.2">
      <c r="B26" s="206">
        <v>0.70833333333333337</v>
      </c>
      <c r="C26" s="206">
        <v>0.75</v>
      </c>
      <c r="D26" s="206"/>
      <c r="E26" s="206"/>
      <c r="F26" s="206"/>
      <c r="G26" s="206"/>
      <c r="H26" s="207" t="s">
        <v>243</v>
      </c>
      <c r="I26" s="210" t="s">
        <v>216</v>
      </c>
      <c r="J26" s="210" t="str">
        <f t="array" ref="J26">IFERROR(
 INDEX(
  SCHEDULE!$A$1:$A$76,
   SMALL(
   IF(
    (ISNUMBER(SEARCH("A",SCHEDULE!G$1:G$76)))*
   ( (SCHEDULE!F$1:F$76=$B26)+(SCHEDULE!F$1:F$76=$C26)+(SCHEDULE!F$1:F$76=$D26)+(SCHEDULE!F$1:F$76=$E26)+(SCHEDULE!F$1:F$76=$F26)+ (SCHEDULE!H$1:H$76=$G26) ),
     ROW(SCHEDULE!AO$1:AO$76),
     ""
    ),COUNTIF($H$18:$H26,$H26)
  )
 ),"
Missing")</f>
        <v>Ed Baron</v>
      </c>
      <c r="K26" s="210" t="str">
        <f t="array" ref="K26">IFERROR(
 INDEX(
  SCHEDULE!$A$1:$A$76,
   SMALL(
   IF(
    (ISNUMBER(SEARCH("A",SCHEDULE!H$1:H$76)))*
   ( (SCHEDULE!G$1:G$76=$B26)+(SCHEDULE!G$1:G$76=$C26)+(SCHEDULE!G$1:G$76=$D26)+(SCHEDULE!G$1:G$76=$E26)+(SCHEDULE!G$1:G$76=$F26)+ (SCHEDULE!I$1:I$76=$G26) ),
     ROW(SCHEDULE!AP$1:AP$76),
     ""
    ),COUNTIF($H$18:$H26,$H26)
  )
 ),"
Missing")</f>
        <v xml:space="preserve">
Missing</v>
      </c>
      <c r="L26" s="210" t="str">
        <f t="array" ref="L26">IFERROR(
 INDEX(
  SCHEDULE!$A$1:$A$76,
   SMALL(
   IF(
    (ISNUMBER(SEARCH("A",SCHEDULE!I$1:I$76)))*
   ( (SCHEDULE!H$1:H$76=$B26)+(SCHEDULE!H$1:H$76=$C26)+(SCHEDULE!H$1:H$76=$D26)+(SCHEDULE!H$1:H$76=$E26)+(SCHEDULE!H$1:H$76=$F26)+ (SCHEDULE!J$1:J$76=$G26) ),
     ROW(SCHEDULE!AQ$1:AQ$76),
     ""
    ),COUNTIF($H$18:$H26,$H26)
  )
 ),"
Missing")</f>
        <v>Date Range</v>
      </c>
      <c r="M26" s="210" t="str">
        <f t="array" ref="M26">IFERROR(
 INDEX(
  SCHEDULE!$A$1:$A$76,
   SMALL(
   IF(
    (ISNUMBER(SEARCH("A",SCHEDULE!J$1:J$76)))*
   ( (SCHEDULE!I$1:I$76=$B26)+(SCHEDULE!I$1:I$76=$C26)+(SCHEDULE!I$1:I$76=$D26)+(SCHEDULE!I$1:I$76=$E26)+(SCHEDULE!I$1:I$76=$F26)+ (SCHEDULE!K$1:K$76=$G26) ),
     ROW(SCHEDULE!AR$1:AR$76),
     ""
    ),COUNTIF($H$18:$H26,$H26)
  )
 ),"
Missing")</f>
        <v>Kaleb Hunter</v>
      </c>
      <c r="N26" s="210" t="str">
        <f t="array" ref="N26">IFERROR(
 INDEX(
  SCHEDULE!$A$1:$A$76,
   SMALL(
   IF(
    (ISNUMBER(SEARCH("A",SCHEDULE!K$1:K$76)))*
   ( (SCHEDULE!J$1:J$76=$B26)+(SCHEDULE!J$1:J$76=$C26)+(SCHEDULE!J$1:J$76=$D26)+(SCHEDULE!J$1:J$76=$E26)+(SCHEDULE!J$1:J$76=$F26)+ (SCHEDULE!L$1:L$76=$G26) ),
     ROW(SCHEDULE!AS$1:AS$76),
     ""
    ),COUNTIF($H$18:$H26,$H26)
  )
 ),"
Missing")</f>
        <v xml:space="preserve">
Missing</v>
      </c>
      <c r="O26" s="210" t="str">
        <f t="array" ref="O26">IFERROR(
 INDEX(
  SCHEDULE!$A$1:$A$76,
   SMALL(
   IF(
    (ISNUMBER(SEARCH("A",SCHEDULE!L$1:L$76)))*
   ( (SCHEDULE!K$1:K$76=$B26)+(SCHEDULE!K$1:K$76=$C26)+(SCHEDULE!K$1:K$76=$D26)+(SCHEDULE!K$1:K$76=$E26)+(SCHEDULE!K$1:K$76=$F26)+ (SCHEDULE!M$1:M$76=$G26) ),
     ROW(SCHEDULE!AT$1:AT$76),
     ""
    ),COUNTIF($H$18:$H26,$H26)
  )
 ),"
Missing")</f>
        <v>Date Range</v>
      </c>
      <c r="P26" s="210" t="str">
        <f t="array" ref="P26">IFERROR(
 INDEX(
  SCHEDULE!$A$1:$A$76,
   SMALL(
   IF(
    (ISNUMBER(SEARCH("A",SCHEDULE!M$1:M$76)))*
   ( (SCHEDULE!L$1:L$76=$B26)+(SCHEDULE!L$1:L$76=$C26)+(SCHEDULE!L$1:L$76=$D26)+(SCHEDULE!L$1:L$76=$E26)+(SCHEDULE!L$1:L$76=$F26)+ (SCHEDULE!N$1:N$76=$G26) ),
     ROW(SCHEDULE!AU$1:AU$76),
     ""
    ),COUNTIF($H$18:$H26,$H26)
  )
 ),"
Missing")</f>
        <v>Kaleb Hunter</v>
      </c>
      <c r="Q26" s="210" t="str">
        <f t="array" ref="Q26">IFERROR(
 INDEX(
  SCHEDULE!$A$1:$A$76,
   SMALL(
   IF(
    (ISNUMBER(SEARCH("A",SCHEDULE!N$1:N$76)))*
   ( (SCHEDULE!M$1:M$76=$B26)+(SCHEDULE!M$1:M$76=$C26)+(SCHEDULE!M$1:M$76=$D26)+(SCHEDULE!M$1:M$76=$E26)+(SCHEDULE!M$1:M$76=$F26)+ (SCHEDULE!O$1:O$76=$G26) ),
     ROW(SCHEDULE!AV$1:AV$76),
     ""
    ),COUNTIF($H$18:$H26,$H26)
  )
 ),"
Missing")</f>
        <v>Blaze Chabot</v>
      </c>
      <c r="R26" s="210" t="str">
        <f t="array" ref="R26">IFERROR(
 INDEX(
  SCHEDULE!$A$1:$A$76,
   SMALL(
   IF(
    (ISNUMBER(SEARCH("A",SCHEDULE!O$1:O$76)))*
   ( (SCHEDULE!N$1:N$76=$B26)+(SCHEDULE!N$1:N$76=$C26)+(SCHEDULE!N$1:N$76=$D26)+(SCHEDULE!N$1:N$76=$E26)+(SCHEDULE!N$1:N$76=$F26)+ (SCHEDULE!P$1:P$76=$G26) ),
     ROW(SCHEDULE!AW$1:AW$76),
     ""
    ),COUNTIF($H$18:$H26,$H26)
  )
 ),"
Missing")</f>
        <v>Date Range</v>
      </c>
      <c r="S26" s="210" t="str">
        <f t="array" ref="S26">IFERROR(
 INDEX(
  SCHEDULE!$A$1:$A$76,
   SMALL(
   IF(
    (ISNUMBER(SEARCH("A",SCHEDULE!P$1:P$76)))*
   ( (SCHEDULE!O$1:O$76=$B26)+(SCHEDULE!O$1:O$76=$C26)+(SCHEDULE!O$1:O$76=$D26)+(SCHEDULE!O$1:O$76=$E26)+(SCHEDULE!O$1:O$76=$F26)+ (SCHEDULE!Q$1:Q$76=$G26) ),
     ROW(SCHEDULE!AX$1:AX$76),
     ""
    ),COUNTIF($H$18:$H26,$H26)
  )
 ),"
Missing")</f>
        <v>Kaleb Hunter</v>
      </c>
      <c r="T26" s="210" t="str">
        <f t="array" ref="T26">IFERROR(
 INDEX(
  SCHEDULE!$A$1:$A$76,
   SMALL(
   IF(
    (ISNUMBER(SEARCH("A",SCHEDULE!Q$1:Q$76)))*
   ( (SCHEDULE!P$1:P$76=$B26)+(SCHEDULE!P$1:P$76=$C26)+(SCHEDULE!P$1:P$76=$D26)+(SCHEDULE!P$1:P$76=$E26)+(SCHEDULE!P$1:P$76=$F26)+ (SCHEDULE!R$1:R$76=$G26) ),
     ROW(SCHEDULE!AY$1:AY$76),
     ""
    ),COUNTIF($H$18:$H26,$H26)
  )
 ),"
Missing")</f>
        <v>Blaze Chabot</v>
      </c>
      <c r="U26" s="210" t="str">
        <f t="array" ref="U26">IFERROR(
 INDEX(
  SCHEDULE!$A$1:$A$76,
   SMALL(
   IF(
    (ISNUMBER(SEARCH("A",SCHEDULE!R$1:R$76)))*
   ( (SCHEDULE!Q$1:Q$76=$B26)+(SCHEDULE!Q$1:Q$76=$C26)+(SCHEDULE!Q$1:Q$76=$D26)+(SCHEDULE!Q$1:Q$76=$E26)+(SCHEDULE!Q$1:Q$76=$F26)+ (SCHEDULE!S$1:S$76=$G26) ),
     ROW(SCHEDULE!AZ$1:AZ$76),
     ""
    ),COUNTIF($H$18:$H26,$H26)
  )
 ),"
Missing")</f>
        <v>Date Range</v>
      </c>
      <c r="V26" s="210" t="str">
        <f t="array" ref="V26">IFERROR(
 INDEX(
  SCHEDULE!$A$1:$A$76,
   SMALL(
   IF(
    (ISNUMBER(SEARCH("A",SCHEDULE!S$1:S$76)))*
   ( (SCHEDULE!R$1:R$76=$B26)+(SCHEDULE!R$1:R$76=$C26)+(SCHEDULE!R$1:R$76=$D26)+(SCHEDULE!R$1:R$76=$E26)+(SCHEDULE!R$1:R$76=$F26)+ (SCHEDULE!T$1:T$76=$G26) ),
     ROW(SCHEDULE!BA$1:BA$76),
     ""
    ),COUNTIF($H$18:$H26,$H26)
  )
 ),"
Missing")</f>
        <v>Kaleb Hunter</v>
      </c>
      <c r="W26" s="210" t="str">
        <f t="array" ref="W26">IFERROR(
 INDEX(
  SCHEDULE!$A$1:$A$76,
   SMALL(
   IF(
    (ISNUMBER(SEARCH("A",SCHEDULE!T$1:T$76)))*
   ( (SCHEDULE!S$1:S$76=$B26)+(SCHEDULE!S$1:S$76=$C26)+(SCHEDULE!S$1:S$76=$D26)+(SCHEDULE!S$1:S$76=$E26)+(SCHEDULE!S$1:S$76=$F26)+ (SCHEDULE!U$1:U$76=$G26) ),
     ROW(SCHEDULE!BB$1:BB$76),
     ""
    ),COUNTIF($H$18:$H26,$H26)
  )
 ),"
Missing")</f>
        <v>Blaze Chabot</v>
      </c>
      <c r="X26" s="210" t="str">
        <f t="array" ref="X26">IFERROR(
 INDEX(
  SCHEDULE!$A$1:$A$76,
   SMALL(
   IF(
    (ISNUMBER(SEARCH("A",SCHEDULE!U$1:U$76)))*
   ( (SCHEDULE!T$1:T$76=$B26)+(SCHEDULE!T$1:T$76=$C26)+(SCHEDULE!T$1:T$76=$D26)+(SCHEDULE!T$1:T$76=$E26)+(SCHEDULE!T$1:T$76=$F26)+ (SCHEDULE!V$1:V$76=$G26) ),
     ROW(SCHEDULE!BC$1:BC$76),
     ""
    ),COUNTIF($H$18:$H26,$H26)
  )
 ),"
Missing")</f>
        <v>Date Range</v>
      </c>
      <c r="Y26" s="210" t="str">
        <f t="array" ref="Y26">IFERROR(
 INDEX(
  SCHEDULE!$A$1:$A$76,
   SMALL(
   IF(
    (ISNUMBER(SEARCH("A",SCHEDULE!V$1:V$76)))*
   ( (SCHEDULE!U$1:U$76=$B26)+(SCHEDULE!U$1:U$76=$C26)+(SCHEDULE!U$1:U$76=$D26)+(SCHEDULE!U$1:U$76=$E26)+(SCHEDULE!U$1:U$76=$F26)+ (SCHEDULE!W$1:W$76=$G26) ),
     ROW(SCHEDULE!BD$1:BD$76),
     ""
    ),COUNTIF($H$18:$H26,$H26)
  )
 ),"
Missing")</f>
        <v>Kaleb Hunter</v>
      </c>
      <c r="Z26" s="210" t="str">
        <f t="array" ref="Z26">IFERROR(
 INDEX(
  SCHEDULE!$A$1:$A$76,
   SMALL(
   IF(
    (ISNUMBER(SEARCH("A",SCHEDULE!W$1:W$76)))*
   ( (SCHEDULE!V$1:V$76=$B26)+(SCHEDULE!V$1:V$76=$C26)+(SCHEDULE!V$1:V$76=$D26)+(SCHEDULE!V$1:V$76=$E26)+(SCHEDULE!V$1:V$76=$F26)+ (SCHEDULE!X$1:X$76=$G26) ),
     ROW(SCHEDULE!BE$1:BE$76),
     ""
    ),COUNTIF($H$18:$H26,$H26)
  )
 ),"
Missing")</f>
        <v>Blaze Chabot</v>
      </c>
      <c r="AA26" s="210" t="str">
        <f t="array" ref="AA26">IFERROR(
 INDEX(
  SCHEDULE!$A$1:$A$76,
   SMALL(
   IF(
    (ISNUMBER(SEARCH("A",SCHEDULE!X$1:X$76)))*
   ( (SCHEDULE!W$1:W$76=$B26)+(SCHEDULE!W$1:W$76=$C26)+(SCHEDULE!W$1:W$76=$D26)+(SCHEDULE!W$1:W$76=$E26)+(SCHEDULE!W$1:W$76=$F26)+ (SCHEDULE!Y$1:Y$76=$G26) ),
     ROW(SCHEDULE!BF$1:BF$76),
     ""
    ),COUNTIF($H$18:$H26,$H26)
  )
 ),"
Missing")</f>
        <v>Date Range</v>
      </c>
      <c r="AB26" s="210" t="s">
        <v>216</v>
      </c>
      <c r="AC26" s="210" t="s">
        <v>216</v>
      </c>
      <c r="AD26" s="210" t="s">
        <v>216</v>
      </c>
      <c r="AE26" s="210" t="s">
        <v>216</v>
      </c>
      <c r="AF26" s="210" t="str">
        <f t="array" ref="AF26">IFERROR(
 INDEX(
  SCHEDULE!$A$1:$A$76,
   SMALL(
   IF(
    (ISNUMBER(SEARCH("A",SCHEDULE!AC$1:AC$76)))*
   ( (SCHEDULE!AB$1:AB$76=$B26)+(SCHEDULE!AB$1:AB$76=$C26)+(SCHEDULE!AB$1:AB$76=$D26)+(SCHEDULE!AB$1:AB$76=$E26)+(SCHEDULE!AB$1:AB$76=$F26)+ (SCHEDULE!AD$1:AD$76=$G26) ),
     ROW(SCHEDULE!BK$1:BK$76),
     ""
    ),COUNTIF($H$18:$H26,$H26)
  )
 ),"
Missing")</f>
        <v>Ed Baron</v>
      </c>
      <c r="AG26" s="210" t="str">
        <f t="array" ref="AG26">IFERROR(
 INDEX(
  SCHEDULE!$A$1:$A$76,
   SMALL(
   IF(
    (ISNUMBER(SEARCH("A",SCHEDULE!AD$1:AD$76)))*
   ( (SCHEDULE!AC$1:AC$76=$B26)+(SCHEDULE!AC$1:AC$76=$C26)+(SCHEDULE!AC$1:AC$76=$D26)+(SCHEDULE!AC$1:AC$76=$E26)+(SCHEDULE!AC$1:AC$76=$F26)+ (SCHEDULE!AE$1:AE$76=$G26) ),
     ROW(SCHEDULE!BL$1:BL$76),
     ""
    ),COUNTIF($H$18:$H26,$H26)
  )
 ),"
Missing")</f>
        <v xml:space="preserve">
Missing</v>
      </c>
      <c r="AH26" s="210" t="str">
        <f t="array" ref="AH26">IFERROR(
 INDEX(
  SCHEDULE!$A$1:$A$76,
   SMALL(
   IF(
    (ISNUMBER(SEARCH("A",SCHEDULE!AE$1:AE$76)))*
   ( (SCHEDULE!AD$1:AD$76=$B26)+(SCHEDULE!AD$1:AD$76=$C26)+(SCHEDULE!AD$1:AD$76=$D26)+(SCHEDULE!AD$1:AD$76=$E26)+(SCHEDULE!AD$1:AD$76=$F26)+ (SCHEDULE!AF$1:AF$76=$G26) ),
     ROW(SCHEDULE!BM$1:BM$76),
     ""
    ),COUNTIF($H$18:$H26,$H26)
  )
 ),"
Missing")</f>
        <v>Date Range</v>
      </c>
      <c r="AI26" s="210" t="str">
        <f t="array" ref="AI26">IFERROR(
 INDEX(
  SCHEDULE!$A$1:$A$76,
   SMALL(
   IF(
    (ISNUMBER(SEARCH("A",SCHEDULE!AF$1:AF$76)))*
   ( (SCHEDULE!AE$1:AE$76=$B26)+(SCHEDULE!AE$1:AE$76=$C26)+(SCHEDULE!AE$1:AE$76=$D26)+(SCHEDULE!AE$1:AE$76=$E26)+(SCHEDULE!AE$1:AE$76=$F26)+ (SCHEDULE!AG$1:AG$76=$G26) ),
     ROW(SCHEDULE!BN$1:BN$76),
     ""
    ),COUNTIF($H$18:$H26,$H26)
  )
 ),"
Missing")</f>
        <v>Kaleb Hunter</v>
      </c>
      <c r="AJ26" s="210" t="str">
        <f t="array" ref="AJ26">IFERROR(
 INDEX(
  SCHEDULE!$A$1:$A$76,
   SMALL(
   IF(
    (ISNUMBER(SEARCH("A",SCHEDULE!AG$1:AG$76)))*
   ( (SCHEDULE!AF$1:AF$76=$B26)+(SCHEDULE!AF$1:AF$76=$C26)+(SCHEDULE!AF$1:AF$76=$D26)+(SCHEDULE!AF$1:AF$76=$E26)+(SCHEDULE!AF$1:AF$76=$F26)+ (SCHEDULE!AH$1:AH$76=$G26) ),
     ROW(SCHEDULE!BO$1:BO$76),
     ""
    ),COUNTIF($H$18:$H26,$H26)
  )
 ),"
Missing")</f>
        <v xml:space="preserve">
Missing</v>
      </c>
      <c r="AK26" s="210" t="str">
        <f t="array" ref="AK26">IFERROR(
 INDEX(
  SCHEDULE!$A$1:$A$76,
   SMALL(
   IF(
    (ISNUMBER(SEARCH("A",SCHEDULE!AH$1:AH$76)))*
   ( (SCHEDULE!AG$1:AG$76=$B26)+(SCHEDULE!AG$1:AG$76=$C26)+(SCHEDULE!AG$1:AG$76=$D26)+(SCHEDULE!AG$1:AG$76=$E26)+(SCHEDULE!AG$1:AG$76=$F26)+ (SCHEDULE!AI$1:AI$76=$G26) ),
     ROW(SCHEDULE!BP$1:BP$76),
     ""
    ),COUNTIF($H$18:$H26,$H26)
  )
 ),"
Missing")</f>
        <v>Date Range</v>
      </c>
      <c r="AL26" s="210" t="str">
        <f t="array" ref="AL26">IFERROR(
 INDEX(
  SCHEDULE!$A$1:$A$76,
   SMALL(
   IF(
    (ISNUMBER(SEARCH("A",SCHEDULE!AI$1:AI$76)))*
   ( (SCHEDULE!AH$1:AH$76=$B26)+(SCHEDULE!AH$1:AH$76=$C26)+(SCHEDULE!AH$1:AH$76=$D26)+(SCHEDULE!AH$1:AH$76=$E26)+(SCHEDULE!AH$1:AH$76=$F26)+ (SCHEDULE!AJ$1:AJ$76=$G26) ),
     ROW(SCHEDULE!BQ$1:BQ$76),
     ""
    ),COUNTIF($H$18:$H26,$H26)
  )
 ),"
Missing")</f>
        <v>Kaleb Hunter</v>
      </c>
      <c r="AM26" s="210" t="str">
        <f t="array" ref="AM26">IFERROR(
 INDEX(
  SCHEDULE!$A$1:$A$76,
   SMALL(
   IF(
    (ISNUMBER(SEARCH("A",SCHEDULE!AJ$1:AJ$76)))*
   ( (SCHEDULE!AI$1:AI$76=$B26)+(SCHEDULE!AI$1:AI$76=$C26)+(SCHEDULE!AI$1:AI$76=$D26)+(SCHEDULE!AI$1:AI$76=$E26)+(SCHEDULE!AI$1:AI$76=$F26)+ (SCHEDULE!AK$1:AK$76=$G26) ),
     ROW(SCHEDULE!BR$1:BR$76),
     ""
    ),COUNTIF($H$18:$H26,$H26)
  )
 ),"
Missing")</f>
        <v>Blaze Chabot</v>
      </c>
      <c r="AN26" s="210" t="str">
        <f t="array" ref="AN26">IFERROR(
 INDEX(
  SCHEDULE!$A$1:$A$76,
   SMALL(
   IF(
    (ISNUMBER(SEARCH("A",SCHEDULE!AK$1:AK$76)))*
   ( (SCHEDULE!AJ$1:AJ$76=$B26)+(SCHEDULE!AJ$1:AJ$76=$C26)+(SCHEDULE!AJ$1:AJ$76=$D26)+(SCHEDULE!AJ$1:AJ$76=$E26)+(SCHEDULE!AJ$1:AJ$76=$F26)+ (SCHEDULE!AL$1:AL$76=$G26) ),
     ROW(SCHEDULE!BS$1:BS$76),
     ""
    ),COUNTIF($H$18:$H26,$H26)
  )
 ),"
Missing")</f>
        <v>Date Range</v>
      </c>
      <c r="AO26" s="210" t="str">
        <f t="array" ref="AO26">IFERROR(
 INDEX(
  SCHEDULE!$A$1:$A$76,
   SMALL(
   IF(
    (ISNUMBER(SEARCH("A",SCHEDULE!AL$1:AL$76)))*
   ( (SCHEDULE!AK$1:AK$76=$B26)+(SCHEDULE!AK$1:AK$76=$C26)+(SCHEDULE!AK$1:AK$76=$D26)+(SCHEDULE!AK$1:AK$76=$E26)+(SCHEDULE!AK$1:AK$76=$F26)+ (SCHEDULE!AM$1:AM$76=$G26) ),
     ROW(SCHEDULE!BT$1:BT$76),
     ""
    ),COUNTIF($H$18:$H26,$H26)
  )
 ),"
Missing")</f>
        <v>Kaleb Hunter</v>
      </c>
      <c r="AP26" s="210" t="str">
        <f t="array" ref="AP26">IFERROR(
 INDEX(
  SCHEDULE!$A$1:$A$76,
   SMALL(
   IF(
    (ISNUMBER(SEARCH("A",SCHEDULE!AM$1:AM$76)))*
   ( (SCHEDULE!AL$1:AL$76=$B26)+(SCHEDULE!AL$1:AL$76=$C26)+(SCHEDULE!AL$1:AL$76=$D26)+(SCHEDULE!AL$1:AL$76=$E26)+(SCHEDULE!AL$1:AL$76=$F26)+ (SCHEDULE!AN$1:AN$76=$G26) ),
     ROW(SCHEDULE!BU$1:BU$76),
     ""
    ),COUNTIF($H$18:$H26,$H26)
  )
 ),"
Missing")</f>
        <v>Blaze Chabot</v>
      </c>
      <c r="AQ26" s="210" t="str">
        <f t="array" ref="AQ26">IFERROR(
 INDEX(
  SCHEDULE!$A$1:$A$76,
   SMALL(
   IF(
    (ISNUMBER(SEARCH("A",SCHEDULE!AN$1:AN$76)))*
   ( (SCHEDULE!AM$1:AM$76=$B26)+(SCHEDULE!AM$1:AM$76=$C26)+(SCHEDULE!AM$1:AM$76=$D26)+(SCHEDULE!AM$1:AM$76=$E26)+(SCHEDULE!AM$1:AM$76=$F26)+ (SCHEDULE!AO$1:AO$76=$G26) ),
     ROW(SCHEDULE!BV$1:BV$76),
     ""
    ),COUNTIF($H$18:$H26,$H26)
  )
 ),"
Missing")</f>
        <v>Date Range</v>
      </c>
      <c r="AR26" s="210" t="str">
        <f t="array" ref="AR26">IFERROR(
 INDEX(
  SCHEDULE!$A$1:$A$76,
   SMALL(
   IF(
    (ISNUMBER(SEARCH("A",SCHEDULE!AO$1:AO$76)))*
   ( (SCHEDULE!AN$1:AN$76=$B26)+(SCHEDULE!AN$1:AN$76=$C26)+(SCHEDULE!AN$1:AN$76=$D26)+(SCHEDULE!AN$1:AN$76=$E26)+(SCHEDULE!AN$1:AN$76=$F26)+ (SCHEDULE!AP$1:AP$76=$G26) ),
     ROW(SCHEDULE!BW$1:BW$76),
     ""
    ),COUNTIF($H$18:$H26,$H26)
  )
 ),"
Missing")</f>
        <v>Kaleb Hunter</v>
      </c>
      <c r="AS26" s="210" t="str">
        <f t="array" ref="AS26">IFERROR(
 INDEX(
  SCHEDULE!$A$1:$A$76,
   SMALL(
   IF(
    (ISNUMBER(SEARCH("A",SCHEDULE!AP$1:AP$76)))*
   ( (SCHEDULE!AO$1:AO$76=$B26)+(SCHEDULE!AO$1:AO$76=$C26)+(SCHEDULE!AO$1:AO$76=$D26)+(SCHEDULE!AO$1:AO$76=$E26)+(SCHEDULE!AO$1:AO$76=$F26)+ (SCHEDULE!AQ$1:AQ$76=$G26) ),
     ROW(SCHEDULE!BX$1:BX$76),
     ""
    ),COUNTIF($H$18:$H26,$H26)
  )
 ),"
Missing")</f>
        <v>Blaze Chabot</v>
      </c>
      <c r="AT26" s="210" t="str">
        <f t="array" ref="AT26">IFERROR(
 INDEX(
  SCHEDULE!$A$1:$A$76,
   SMALL(
   IF(
    (ISNUMBER(SEARCH("A",SCHEDULE!AQ$1:AQ$76)))*
   ( (SCHEDULE!AP$1:AP$76=$B26)+(SCHEDULE!AP$1:AP$76=$C26)+(SCHEDULE!AP$1:AP$76=$D26)+(SCHEDULE!AP$1:AP$76=$E26)+(SCHEDULE!AP$1:AP$76=$F26)+ (SCHEDULE!AR$1:AR$76=$G26) ),
     ROW(SCHEDULE!BY$1:BY$76),
     ""
    ),COUNTIF($H$18:$H26,$H26)
  )
 ),"
Missing")</f>
        <v>Date Range</v>
      </c>
      <c r="AU26" s="210" t="str">
        <f t="array" ref="AU26">IFERROR(
 INDEX(
  SCHEDULE!$A$1:$A$76,
   SMALL(
   IF(
    (ISNUMBER(SEARCH("A",SCHEDULE!AR$1:AR$76)))*
   ( (SCHEDULE!AQ$1:AQ$76=$B26)+(SCHEDULE!AQ$1:AQ$76=$C26)+(SCHEDULE!AQ$1:AQ$76=$D26)+(SCHEDULE!AQ$1:AQ$76=$E26)+(SCHEDULE!AQ$1:AQ$76=$F26)+ (SCHEDULE!AS$1:AS$76=$G26) ),
     ROW(SCHEDULE!BZ$1:BZ$76),
     ""
    ),COUNTIF($H$18:$H26,$H26)
  )
 ),"
Missing")</f>
        <v>Kaleb Hunter</v>
      </c>
      <c r="AV26" s="210" t="str">
        <f t="array" ref="AV26">IFERROR(
 INDEX(
  SCHEDULE!$A$1:$A$76,
   SMALL(
   IF(
    (ISNUMBER(SEARCH("A",SCHEDULE!AS$1:AS$76)))*
   ( (SCHEDULE!AR$1:AR$76=$B26)+(SCHEDULE!AR$1:AR$76=$C26)+(SCHEDULE!AR$1:AR$76=$D26)+(SCHEDULE!AR$1:AR$76=$E26)+(SCHEDULE!AR$1:AR$76=$F26)+ (SCHEDULE!AT$1:AT$76=$G26) ),
     ROW(SCHEDULE!CA$1:CA$76),
     ""
    ),COUNTIF($H$18:$H26,$H26)
  )
 ),"
Missing")</f>
        <v xml:space="preserve">
Missing</v>
      </c>
      <c r="AW26" s="210" t="str">
        <f t="array" ref="AW26">IFERROR(
 INDEX(
  SCHEDULE!$A$1:$A$76,
   SMALL(
   IF(
    (ISNUMBER(SEARCH("A",SCHEDULE!AT$1:AT$76)))*
   ( (SCHEDULE!AS$1:AS$76=$B26)+(SCHEDULE!AS$1:AS$76=$C26)+(SCHEDULE!AS$1:AS$76=$D26)+(SCHEDULE!AS$1:AS$76=$E26)+(SCHEDULE!AS$1:AS$76=$F26)+ (SCHEDULE!AU$1:AU$76=$G26) ),
     ROW(SCHEDULE!CB$1:CB$76),
     ""
    ),COUNTIF($H$18:$H26,$H26)
  )
 ),"
Missing")</f>
        <v>Date Range</v>
      </c>
      <c r="AX26" s="210" t="s">
        <v>216</v>
      </c>
      <c r="AY26" s="210" t="str">
        <f t="array" ref="AY26">IFERROR(
 INDEX(
  SCHEDULE!$A$1:$A$76,
   SMALL(
   IF(
    (ISNUMBER(SEARCH("A",SCHEDULE!AV$1:AV$76)))*
   ( (SCHEDULE!AU$1:AU$76=$B26)+(SCHEDULE!AU$1:AU$76=$C26)+(SCHEDULE!AU$1:AU$76=$D26)+(SCHEDULE!AU$1:AU$76=$E26)+(SCHEDULE!AU$1:AU$76=$F26)+ (SCHEDULE!AW$1:AW$76=$G26) ),
     ROW(SCHEDULE!CD$1:CD$76),
     ""
    ),COUNTIF($H$18:$H26,$H26)
  )
 ),"
Missing")</f>
        <v xml:space="preserve">
Missing</v>
      </c>
      <c r="AZ26" s="210" t="str">
        <f t="array" ref="AZ26">IFERROR(
 INDEX(
  SCHEDULE!$A$1:$A$76,
   SMALL(
   IF(
    (ISNUMBER(SEARCH("A",SCHEDULE!AW$1:AW$76)))*
   ( (SCHEDULE!AV$1:AV$76=$B26)+(SCHEDULE!AV$1:AV$76=$C26)+(SCHEDULE!AV$1:AV$76=$D26)+(SCHEDULE!AV$1:AV$76=$E26)+(SCHEDULE!AV$1:AV$76=$F26)+ (SCHEDULE!AX$1:AX$76=$G26) ),
     ROW(SCHEDULE!CE$1:CE$76),
     ""
    ),COUNTIF($H$18:$H26,$H26)
  )
 ),"
Missing")</f>
        <v>Date Range</v>
      </c>
      <c r="BA26" s="210" t="s">
        <v>216</v>
      </c>
      <c r="BB26" s="210" t="str">
        <f t="array" ref="BB26">IFERROR(
 INDEX(
  SCHEDULE!$A$1:$A$76,
   SMALL(
   IF(
    (ISNUMBER(SEARCH("A",SCHEDULE!AY$1:AY$76)))*
   ( (SCHEDULE!AX$1:AX$76=$B26)+(SCHEDULE!AX$1:AX$76=$C26)+(SCHEDULE!AX$1:AX$76=$D26)+(SCHEDULE!AX$1:AX$76=$E26)+(SCHEDULE!AX$1:AX$76=$F26)+ (SCHEDULE!AZ$1:AZ$76=$G26) ),
     ROW(SCHEDULE!CG$1:CG$76),
     ""
    ),COUNTIF($H$18:$H26,$H26)
  )
 ),"
Missing")</f>
        <v>Ed Baron</v>
      </c>
      <c r="BC26" s="210" t="str">
        <f t="array" ref="BC26">IFERROR(
 INDEX(
  SCHEDULE!$A$1:$A$76,
   SMALL(
   IF(
    (ISNUMBER(SEARCH("A",SCHEDULE!AZ$1:AZ$76)))*
   ( (SCHEDULE!AY$1:AY$76=$B26)+(SCHEDULE!AY$1:AY$76=$C26)+(SCHEDULE!AY$1:AY$76=$D26)+(SCHEDULE!AY$1:AY$76=$E26)+(SCHEDULE!AY$1:AY$76=$F26)+ (SCHEDULE!BA$1:BA$76=$G26) ),
     ROW(SCHEDULE!CH$1:CH$76),
     ""
    ),COUNTIF($H$18:$H26,$H26)
  )
 ),"
Missing")</f>
        <v xml:space="preserve">
Missing</v>
      </c>
      <c r="BD26" s="210" t="str">
        <f t="array" ref="BD26">IFERROR(
 INDEX(
  SCHEDULE!$A$1:$A$76,
   SMALL(
   IF(
    (ISNUMBER(SEARCH("A",SCHEDULE!BA$1:BA$76)))*
   ( (SCHEDULE!AZ$1:AZ$76=$B26)+(SCHEDULE!AZ$1:AZ$76=$C26)+(SCHEDULE!AZ$1:AZ$76=$D26)+(SCHEDULE!AZ$1:AZ$76=$E26)+(SCHEDULE!AZ$1:AZ$76=$F26)+ (SCHEDULE!BB$1:BB$76=$G26) ),
     ROW(SCHEDULE!CI$1:CI$76),
     ""
    ),COUNTIF($H$18:$H26,$H26)
  )
 ),"
Missing")</f>
        <v>Date Range</v>
      </c>
      <c r="BE26" s="210" t="str">
        <f t="array" ref="BE26">IFERROR(
 INDEX(
  SCHEDULE!$A$1:$A$76,
   SMALL(
   IF(
    (ISNUMBER(SEARCH("A",SCHEDULE!BB$1:BB$76)))*
   ( (SCHEDULE!BA$1:BA$76=$B26)+(SCHEDULE!BA$1:BA$76=$C26)+(SCHEDULE!BA$1:BA$76=$D26)+(SCHEDULE!BA$1:BA$76=$E26)+(SCHEDULE!BA$1:BA$76=$F26)+ (SCHEDULE!BC$1:BC$76=$G26) ),
     ROW(SCHEDULE!CJ$1:CJ$76),
     ""
    ),COUNTIF($H$18:$H26,$H26)
  )
 ),"
Missing")</f>
        <v>Kaleb Hunter</v>
      </c>
    </row>
    <row r="27" spans="2:57" x14ac:dyDescent="0.2">
      <c r="B27" s="206">
        <v>0.91666666666666663</v>
      </c>
      <c r="C27" s="206" t="s">
        <v>86</v>
      </c>
      <c r="D27" s="206"/>
      <c r="E27" s="206"/>
      <c r="F27" s="206"/>
      <c r="G27" s="206" t="s">
        <v>86</v>
      </c>
      <c r="H27" s="207" t="s">
        <v>29</v>
      </c>
      <c r="I27" s="210" t="str">
        <f t="array" ref="I27">IFERROR(
 INDEX(
  SCHEDULE!$A$1:$A$76,
   SMALL(
   IF(
    (ISNUMBER(SEARCH("A",SCHEDULE!F$1:F$76)))*
   ( (SCHEDULE!E$1:E$76=$B27)+(SCHEDULE!E$1:E$76=$C27)+(SCHEDULE!E$1:E$76=$D27)+(SCHEDULE!E$1:E$76=$E27)+(SCHEDULE!E$1:E$76=$F27)+ (SCHEDULE!G$1:G$76=$G27) ),
     ROW(SCHEDULE!AN$1:AN$76),
     ""
    ),COUNTIF($H$18:$H27,$H27)
  )
 ),"
Missing")</f>
        <v>Ed Baron</v>
      </c>
      <c r="J27" s="210" t="str">
        <f t="array" ref="J27">IFERROR(
 INDEX(
  SCHEDULE!$A$1:$A$76,
   SMALL(
   IF(
    (ISNUMBER(SEARCH("A",SCHEDULE!G$1:G$76)))*
   ( (SCHEDULE!F$1:F$76=$B27)+(SCHEDULE!F$1:F$76=$C27)+(SCHEDULE!F$1:F$76=$D27)+(SCHEDULE!F$1:F$76=$E27)+(SCHEDULE!F$1:F$76=$F27)+ (SCHEDULE!H$1:H$76=$G27) ),
     ROW(SCHEDULE!AO$1:AO$76),
     ""
    ),COUNTIF($H$18:$H27,$H27)
  )
 ),"
Missing")</f>
        <v xml:space="preserve">
Missing</v>
      </c>
      <c r="K27" s="210" t="str">
        <f t="array" ref="K27">IFERROR(
 INDEX(
  SCHEDULE!$A$1:$A$76,
   SMALL(
   IF(
    (ISNUMBER(SEARCH("A",SCHEDULE!H$1:H$76)))*
   ( (SCHEDULE!G$1:G$76=$B27)+(SCHEDULE!G$1:G$76=$C27)+(SCHEDULE!G$1:G$76=$D27)+(SCHEDULE!G$1:G$76=$E27)+(SCHEDULE!G$1:G$76=$F27)+ (SCHEDULE!I$1:I$76=$G27) ),
     ROW(SCHEDULE!AP$1:AP$76),
     ""
    ),COUNTIF($H$18:$H27,$H27)
  )
 ),"
Missing")</f>
        <v xml:space="preserve">
Missing</v>
      </c>
      <c r="L27" s="210" t="str">
        <f t="array" ref="L27">IFERROR(
 INDEX(
  SCHEDULE!$A$1:$A$76,
   SMALL(
   IF(
    (ISNUMBER(SEARCH("A",SCHEDULE!I$1:I$76)))*
   ( (SCHEDULE!H$1:H$76=$B27)+(SCHEDULE!H$1:H$76=$C27)+(SCHEDULE!H$1:H$76=$D27)+(SCHEDULE!H$1:H$76=$E27)+(SCHEDULE!H$1:H$76=$F27)+ (SCHEDULE!J$1:J$76=$G27) ),
     ROW(SCHEDULE!AQ$1:AQ$76),
     ""
    ),COUNTIF($H$18:$H27,$H27)
  )
 ),"
Missing")</f>
        <v>Date Range</v>
      </c>
      <c r="M27" s="210" t="str">
        <f t="array" ref="M27">IFERROR(
 INDEX(
  SCHEDULE!$A$1:$A$76,
   SMALL(
   IF(
    (ISNUMBER(SEARCH("A",SCHEDULE!J$1:J$76)))*
   ( (SCHEDULE!I$1:I$76=$B27)+(SCHEDULE!I$1:I$76=$C27)+(SCHEDULE!I$1:I$76=$D27)+(SCHEDULE!I$1:I$76=$E27)+(SCHEDULE!I$1:I$76=$F27)+ (SCHEDULE!K$1:K$76=$G27) ),
     ROW(SCHEDULE!AR$1:AR$76),
     ""
    ),COUNTIF($H$18:$H27,$H27)
  )
 ),"
Missing")</f>
        <v>James Mitchell</v>
      </c>
      <c r="N27" s="210" t="str">
        <f t="array" ref="N27">IFERROR(
 INDEX(
  SCHEDULE!$A$1:$A$76,
   SMALL(
   IF(
    (ISNUMBER(SEARCH("A",SCHEDULE!K$1:K$76)))*
   ( (SCHEDULE!J$1:J$76=$B27)+(SCHEDULE!J$1:J$76=$C27)+(SCHEDULE!J$1:J$76=$D27)+(SCHEDULE!J$1:J$76=$E27)+(SCHEDULE!J$1:J$76=$F27)+ (SCHEDULE!L$1:L$76=$G27) ),
     ROW(SCHEDULE!AS$1:AS$76),
     ""
    ),COUNTIF($H$18:$H27,$H27)
  )
 ),"
Missing")</f>
        <v xml:space="preserve">
Missing</v>
      </c>
      <c r="O27" s="210" t="str">
        <f t="array" ref="O27">IFERROR(
 INDEX(
  SCHEDULE!$A$1:$A$76,
   SMALL(
   IF(
    (ISNUMBER(SEARCH("A",SCHEDULE!L$1:L$76)))*
   ( (SCHEDULE!K$1:K$76=$B27)+(SCHEDULE!K$1:K$76=$C27)+(SCHEDULE!K$1:K$76=$D27)+(SCHEDULE!K$1:K$76=$E27)+(SCHEDULE!K$1:K$76=$F27)+ (SCHEDULE!M$1:M$76=$G27) ),
     ROW(SCHEDULE!AT$1:AT$76),
     ""
    ),COUNTIF($H$18:$H27,$H27)
  )
 ),"
Missing")</f>
        <v>Date Range</v>
      </c>
      <c r="P27" s="210" t="str">
        <f t="array" ref="P27">IFERROR(
 INDEX(
  SCHEDULE!$A$1:$A$76,
   SMALL(
   IF(
    (ISNUMBER(SEARCH("A",SCHEDULE!M$1:M$76)))*
   ( (SCHEDULE!L$1:L$76=$B27)+(SCHEDULE!L$1:L$76=$C27)+(SCHEDULE!L$1:L$76=$D27)+(SCHEDULE!L$1:L$76=$E27)+(SCHEDULE!L$1:L$76=$F27)+ (SCHEDULE!N$1:N$76=$G27) ),
     ROW(SCHEDULE!AU$1:AU$76),
     ""
    ),COUNTIF($H$18:$H27,$H27)
  )
 ),"
Missing")</f>
        <v>James Mitchell</v>
      </c>
      <c r="Q27" s="210" t="str">
        <f t="array" ref="Q27">IFERROR(
 INDEX(
  SCHEDULE!$A$1:$A$76,
   SMALL(
   IF(
    (ISNUMBER(SEARCH("A",SCHEDULE!N$1:N$76)))*
   ( (SCHEDULE!M$1:M$76=$B27)+(SCHEDULE!M$1:M$76=$C27)+(SCHEDULE!M$1:M$76=$D27)+(SCHEDULE!M$1:M$76=$E27)+(SCHEDULE!M$1:M$76=$F27)+ (SCHEDULE!O$1:O$76=$G27) ),
     ROW(SCHEDULE!AV$1:AV$76),
     ""
    ),COUNTIF($H$18:$H27,$H27)
  )
 ),"
Missing")</f>
        <v>Blaze Chabot</v>
      </c>
      <c r="R27" s="210" t="str">
        <f t="array" ref="R27">IFERROR(
 INDEX(
  SCHEDULE!$A$1:$A$76,
   SMALL(
   IF(
    (ISNUMBER(SEARCH("A",SCHEDULE!O$1:O$76)))*
   ( (SCHEDULE!N$1:N$76=$B27)+(SCHEDULE!N$1:N$76=$C27)+(SCHEDULE!N$1:N$76=$D27)+(SCHEDULE!N$1:N$76=$E27)+(SCHEDULE!N$1:N$76=$F27)+ (SCHEDULE!P$1:P$76=$G27) ),
     ROW(SCHEDULE!AW$1:AW$76),
     ""
    ),COUNTIF($H$18:$H27,$H27)
  )
 ),"
Missing")</f>
        <v>Date Range</v>
      </c>
      <c r="S27" s="210" t="str">
        <f t="array" ref="S27">IFERROR(
 INDEX(
  SCHEDULE!$A$1:$A$76,
   SMALL(
   IF(
    (ISNUMBER(SEARCH("A",SCHEDULE!P$1:P$76)))*
   ( (SCHEDULE!O$1:O$76=$B27)+(SCHEDULE!O$1:O$76=$C27)+(SCHEDULE!O$1:O$76=$D27)+(SCHEDULE!O$1:O$76=$E27)+(SCHEDULE!O$1:O$76=$F27)+ (SCHEDULE!Q$1:Q$76=$G27) ),
     ROW(SCHEDULE!AX$1:AX$76),
     ""
    ),COUNTIF($H$18:$H27,$H27)
  )
 ),"
Missing")</f>
        <v>James Mitchell</v>
      </c>
      <c r="T27" s="210" t="str">
        <f t="array" ref="T27">IFERROR(
 INDEX(
  SCHEDULE!$A$1:$A$76,
   SMALL(
   IF(
    (ISNUMBER(SEARCH("A",SCHEDULE!Q$1:Q$76)))*
   ( (SCHEDULE!P$1:P$76=$B27)+(SCHEDULE!P$1:P$76=$C27)+(SCHEDULE!P$1:P$76=$D27)+(SCHEDULE!P$1:P$76=$E27)+(SCHEDULE!P$1:P$76=$F27)+ (SCHEDULE!R$1:R$76=$G27) ),
     ROW(SCHEDULE!AY$1:AY$76),
     ""
    ),COUNTIF($H$18:$H27,$H27)
  )
 ),"
Missing")</f>
        <v>Blaze Chabot</v>
      </c>
      <c r="U27" s="210" t="str">
        <f t="array" ref="U27">IFERROR(
 INDEX(
  SCHEDULE!$A$1:$A$76,
   SMALL(
   IF(
    (ISNUMBER(SEARCH("A",SCHEDULE!R$1:R$76)))*
   ( (SCHEDULE!Q$1:Q$76=$B27)+(SCHEDULE!Q$1:Q$76=$C27)+(SCHEDULE!Q$1:Q$76=$D27)+(SCHEDULE!Q$1:Q$76=$E27)+(SCHEDULE!Q$1:Q$76=$F27)+ (SCHEDULE!S$1:S$76=$G27) ),
     ROW(SCHEDULE!AZ$1:AZ$76),
     ""
    ),COUNTIF($H$18:$H27,$H27)
  )
 ),"
Missing")</f>
        <v>Date Range</v>
      </c>
      <c r="V27" s="210" t="str">
        <f t="array" ref="V27">IFERROR(
 INDEX(
  SCHEDULE!$A$1:$A$76,
   SMALL(
   IF(
    (ISNUMBER(SEARCH("A",SCHEDULE!S$1:S$76)))*
   ( (SCHEDULE!R$1:R$76=$B27)+(SCHEDULE!R$1:R$76=$C27)+(SCHEDULE!R$1:R$76=$D27)+(SCHEDULE!R$1:R$76=$E27)+(SCHEDULE!R$1:R$76=$F27)+ (SCHEDULE!T$1:T$76=$G27) ),
     ROW(SCHEDULE!BA$1:BA$76),
     ""
    ),COUNTIF($H$18:$H27,$H27)
  )
 ),"
Missing")</f>
        <v>James Mitchell</v>
      </c>
      <c r="W27" s="210" t="str">
        <f t="array" ref="W27">IFERROR(
 INDEX(
  SCHEDULE!$A$1:$A$76,
   SMALL(
   IF(
    (ISNUMBER(SEARCH("A",SCHEDULE!T$1:T$76)))*
   ( (SCHEDULE!S$1:S$76=$B27)+(SCHEDULE!S$1:S$76=$C27)+(SCHEDULE!S$1:S$76=$D27)+(SCHEDULE!S$1:S$76=$E27)+(SCHEDULE!S$1:S$76=$F27)+ (SCHEDULE!U$1:U$76=$G27) ),
     ROW(SCHEDULE!BB$1:BB$76),
     ""
    ),COUNTIF($H$18:$H27,$H27)
  )
 ),"
Missing")</f>
        <v>Blaze Chabot</v>
      </c>
      <c r="X27" s="210" t="str">
        <f t="array" ref="X27">IFERROR(
 INDEX(
  SCHEDULE!$A$1:$A$76,
   SMALL(
   IF(
    (ISNUMBER(SEARCH("A",SCHEDULE!U$1:U$76)))*
   ( (SCHEDULE!T$1:T$76=$B27)+(SCHEDULE!T$1:T$76=$C27)+(SCHEDULE!T$1:T$76=$D27)+(SCHEDULE!T$1:T$76=$E27)+(SCHEDULE!T$1:T$76=$F27)+ (SCHEDULE!V$1:V$76=$G27) ),
     ROW(SCHEDULE!BC$1:BC$76),
     ""
    ),COUNTIF($H$18:$H27,$H27)
  )
 ),"
Missing")</f>
        <v>Date Range</v>
      </c>
      <c r="Y27" s="210" t="str">
        <f t="array" ref="Y27">IFERROR(
 INDEX(
  SCHEDULE!$A$1:$A$76,
   SMALL(
   IF(
    (ISNUMBER(SEARCH("A",SCHEDULE!V$1:V$76)))*
   ( (SCHEDULE!U$1:U$76=$B27)+(SCHEDULE!U$1:U$76=$C27)+(SCHEDULE!U$1:U$76=$D27)+(SCHEDULE!U$1:U$76=$E27)+(SCHEDULE!U$1:U$76=$F27)+ (SCHEDULE!W$1:W$76=$G27) ),
     ROW(SCHEDULE!BD$1:BD$76),
     ""
    ),COUNTIF($H$18:$H27,$H27)
  )
 ),"
Missing")</f>
        <v>James Mitchell</v>
      </c>
      <c r="Z27" s="210" t="str">
        <f t="array" ref="Z27">IFERROR(
 INDEX(
  SCHEDULE!$A$1:$A$76,
   SMALL(
   IF(
    (ISNUMBER(SEARCH("A",SCHEDULE!W$1:W$76)))*
   ( (SCHEDULE!V$1:V$76=$B27)+(SCHEDULE!V$1:V$76=$C27)+(SCHEDULE!V$1:V$76=$D27)+(SCHEDULE!V$1:V$76=$E27)+(SCHEDULE!V$1:V$76=$F27)+ (SCHEDULE!X$1:X$76=$G27) ),
     ROW(SCHEDULE!BE$1:BE$76),
     ""
    ),COUNTIF($H$18:$H27,$H27)
  )
 ),"
Missing")</f>
        <v>Blaze Chabot</v>
      </c>
      <c r="AA27" s="210" t="str">
        <f t="array" ref="AA27">IFERROR(
 INDEX(
  SCHEDULE!$A$1:$A$76,
   SMALL(
   IF(
    (ISNUMBER(SEARCH("A",SCHEDULE!X$1:X$76)))*
   ( (SCHEDULE!W$1:W$76=$B27)+(SCHEDULE!W$1:W$76=$C27)+(SCHEDULE!W$1:W$76=$D27)+(SCHEDULE!W$1:W$76=$E27)+(SCHEDULE!W$1:W$76=$F27)+ (SCHEDULE!Y$1:Y$76=$G27) ),
     ROW(SCHEDULE!BF$1:BF$76),
     ""
    ),COUNTIF($H$18:$H27,$H27)
  )
 ),"
Missing")</f>
        <v>Date Range</v>
      </c>
      <c r="AB27" s="210" t="str">
        <f t="array" ref="AB27">IFERROR(
 INDEX(
  SCHEDULE!$A$1:$A$76,
   SMALL(
   IF(
    (ISNUMBER(SEARCH("A",SCHEDULE!Y$1:Y$76)))*
   ( (SCHEDULE!X$1:X$76=$B27)+(SCHEDULE!X$1:X$76=$C27)+(SCHEDULE!X$1:X$76=$D27)+(SCHEDULE!X$1:X$76=$E27)+(SCHEDULE!X$1:X$76=$F27)+ (SCHEDULE!Z$1:Z$76=$G27) ),
     ROW(SCHEDULE!BG$1:BG$76),
     ""
    ),COUNTIF($H$18:$H27,$H27)
  )
 ),"
Missing")</f>
        <v>Ed Baron</v>
      </c>
      <c r="AC27" s="210" t="str">
        <f t="array" ref="AC27">IFERROR(
 INDEX(
  SCHEDULE!$A$1:$A$76,
   SMALL(
   IF(
    (ISNUMBER(SEARCH("A",SCHEDULE!Z$1:Z$76)))*
   ( (SCHEDULE!Y$1:Y$76=$B27)+(SCHEDULE!Y$1:Y$76=$C27)+(SCHEDULE!Y$1:Y$76=$D27)+(SCHEDULE!Y$1:Y$76=$E27)+(SCHEDULE!Y$1:Y$76=$F27)+ (SCHEDULE!AA$1:AA$76=$G27) ),
     ROW(SCHEDULE!BH$1:BH$76),
     ""
    ),COUNTIF($H$18:$H27,$H27)
  )
 ),"
Missing")</f>
        <v>Blaze Chabot</v>
      </c>
      <c r="AD27" s="210" t="str">
        <f t="array" ref="AD27">IFERROR(
 INDEX(
  SCHEDULE!$A$1:$A$76,
   SMALL(
   IF(
    (ISNUMBER(SEARCH("A",SCHEDULE!AA$1:AA$76)))*
   ( (SCHEDULE!Z$1:Z$76=$B27)+(SCHEDULE!Z$1:Z$76=$C27)+(SCHEDULE!Z$1:Z$76=$D27)+(SCHEDULE!Z$1:Z$76=$E27)+(SCHEDULE!Z$1:Z$76=$F27)+ (SCHEDULE!AB$1:AB$76=$G27) ),
     ROW(SCHEDULE!BI$1:BI$76),
     ""
    ),COUNTIF($H$18:$H27,$H27)
  )
 ),"
Missing")</f>
        <v>Date Range</v>
      </c>
      <c r="AE27" s="210" t="str">
        <f t="array" ref="AE27">IFERROR(
 INDEX(
  SCHEDULE!$A$1:$A$76,
   SMALL(
   IF(
    (ISNUMBER(SEARCH("A",SCHEDULE!AB$1:AB$76)))*
   ( (SCHEDULE!AA$1:AA$76=$B27)+(SCHEDULE!AA$1:AA$76=$C27)+(SCHEDULE!AA$1:AA$76=$D27)+(SCHEDULE!AA$1:AA$76=$E27)+(SCHEDULE!AA$1:AA$76=$F27)+ (SCHEDULE!AC$1:AC$76=$G27) ),
     ROW(SCHEDULE!BJ$1:BJ$76),
     ""
    ),COUNTIF($H$18:$H27,$H27)
  )
 ),"
Missing")</f>
        <v>Ed Baron</v>
      </c>
      <c r="AF27" s="210" t="str">
        <f t="array" ref="AF27">IFERROR(
 INDEX(
  SCHEDULE!$A$1:$A$76,
   SMALL(
   IF(
    (ISNUMBER(SEARCH("A",SCHEDULE!AC$1:AC$76)))*
   ( (SCHEDULE!AB$1:AB$76=$B27)+(SCHEDULE!AB$1:AB$76=$C27)+(SCHEDULE!AB$1:AB$76=$D27)+(SCHEDULE!AB$1:AB$76=$E27)+(SCHEDULE!AB$1:AB$76=$F27)+ (SCHEDULE!AD$1:AD$76=$G27) ),
     ROW(SCHEDULE!BK$1:BK$76),
     ""
    ),COUNTIF($H$18:$H27,$H27)
  )
 ),"
Missing")</f>
        <v xml:space="preserve">
Missing</v>
      </c>
      <c r="AG27" s="210" t="str">
        <f t="array" ref="AG27">IFERROR(
 INDEX(
  SCHEDULE!$A$1:$A$76,
   SMALL(
   IF(
    (ISNUMBER(SEARCH("A",SCHEDULE!AD$1:AD$76)))*
   ( (SCHEDULE!AC$1:AC$76=$B27)+(SCHEDULE!AC$1:AC$76=$C27)+(SCHEDULE!AC$1:AC$76=$D27)+(SCHEDULE!AC$1:AC$76=$E27)+(SCHEDULE!AC$1:AC$76=$F27)+ (SCHEDULE!AE$1:AE$76=$G27) ),
     ROW(SCHEDULE!BL$1:BL$76),
     ""
    ),COUNTIF($H$18:$H27,$H27)
  )
 ),"
Missing")</f>
        <v xml:space="preserve">
Missing</v>
      </c>
      <c r="AH27" s="210" t="str">
        <f t="array" ref="AH27">IFERROR(
 INDEX(
  SCHEDULE!$A$1:$A$76,
   SMALL(
   IF(
    (ISNUMBER(SEARCH("A",SCHEDULE!AE$1:AE$76)))*
   ( (SCHEDULE!AD$1:AD$76=$B27)+(SCHEDULE!AD$1:AD$76=$C27)+(SCHEDULE!AD$1:AD$76=$D27)+(SCHEDULE!AD$1:AD$76=$E27)+(SCHEDULE!AD$1:AD$76=$F27)+ (SCHEDULE!AF$1:AF$76=$G27) ),
     ROW(SCHEDULE!BM$1:BM$76),
     ""
    ),COUNTIF($H$18:$H27,$H27)
  )
 ),"
Missing")</f>
        <v>Date Range</v>
      </c>
      <c r="AI27" s="210" t="str">
        <f t="array" ref="AI27">IFERROR(
 INDEX(
  SCHEDULE!$A$1:$A$76,
   SMALL(
   IF(
    (ISNUMBER(SEARCH("A",SCHEDULE!AF$1:AF$76)))*
   ( (SCHEDULE!AE$1:AE$76=$B27)+(SCHEDULE!AE$1:AE$76=$C27)+(SCHEDULE!AE$1:AE$76=$D27)+(SCHEDULE!AE$1:AE$76=$E27)+(SCHEDULE!AE$1:AE$76=$F27)+ (SCHEDULE!AG$1:AG$76=$G27) ),
     ROW(SCHEDULE!BN$1:BN$76),
     ""
    ),COUNTIF($H$18:$H27,$H27)
  )
 ),"
Missing")</f>
        <v>Jesse Grant</v>
      </c>
      <c r="AJ27" s="210" t="str">
        <f t="array" ref="AJ27">IFERROR(
 INDEX(
  SCHEDULE!$A$1:$A$76,
   SMALL(
   IF(
    (ISNUMBER(SEARCH("A",SCHEDULE!AG$1:AG$76)))*
   ( (SCHEDULE!AF$1:AF$76=$B27)+(SCHEDULE!AF$1:AF$76=$C27)+(SCHEDULE!AF$1:AF$76=$D27)+(SCHEDULE!AF$1:AF$76=$E27)+(SCHEDULE!AF$1:AF$76=$F27)+ (SCHEDULE!AH$1:AH$76=$G27) ),
     ROW(SCHEDULE!BO$1:BO$76),
     ""
    ),COUNTIF($H$18:$H27,$H27)
  )
 ),"
Missing")</f>
        <v xml:space="preserve">
Missing</v>
      </c>
      <c r="AK27" s="210" t="str">
        <f t="array" ref="AK27">IFERROR(
 INDEX(
  SCHEDULE!$A$1:$A$76,
   SMALL(
   IF(
    (ISNUMBER(SEARCH("A",SCHEDULE!AH$1:AH$76)))*
   ( (SCHEDULE!AG$1:AG$76=$B27)+(SCHEDULE!AG$1:AG$76=$C27)+(SCHEDULE!AG$1:AG$76=$D27)+(SCHEDULE!AG$1:AG$76=$E27)+(SCHEDULE!AG$1:AG$76=$F27)+ (SCHEDULE!AI$1:AI$76=$G27) ),
     ROW(SCHEDULE!BP$1:BP$76),
     ""
    ),COUNTIF($H$18:$H27,$H27)
  )
 ),"
Missing")</f>
        <v>Date Range</v>
      </c>
      <c r="AL27" s="210" t="str">
        <f t="array" ref="AL27">IFERROR(
 INDEX(
  SCHEDULE!$A$1:$A$76,
   SMALL(
   IF(
    (ISNUMBER(SEARCH("A",SCHEDULE!AI$1:AI$76)))*
   ( (SCHEDULE!AH$1:AH$76=$B27)+(SCHEDULE!AH$1:AH$76=$C27)+(SCHEDULE!AH$1:AH$76=$D27)+(SCHEDULE!AH$1:AH$76=$E27)+(SCHEDULE!AH$1:AH$76=$F27)+ (SCHEDULE!AJ$1:AJ$76=$G27) ),
     ROW(SCHEDULE!BQ$1:BQ$76),
     ""
    ),COUNTIF($H$18:$H27,$H27)
  )
 ),"
Missing")</f>
        <v>Jesse Grant</v>
      </c>
      <c r="AM27" s="210" t="str">
        <f t="array" ref="AM27">IFERROR(
 INDEX(
  SCHEDULE!$A$1:$A$76,
   SMALL(
   IF(
    (ISNUMBER(SEARCH("A",SCHEDULE!AJ$1:AJ$76)))*
   ( (SCHEDULE!AI$1:AI$76=$B27)+(SCHEDULE!AI$1:AI$76=$C27)+(SCHEDULE!AI$1:AI$76=$D27)+(SCHEDULE!AI$1:AI$76=$E27)+(SCHEDULE!AI$1:AI$76=$F27)+ (SCHEDULE!AK$1:AK$76=$G27) ),
     ROW(SCHEDULE!BR$1:BR$76),
     ""
    ),COUNTIF($H$18:$H27,$H27)
  )
 ),"
Missing")</f>
        <v>Blaze Chabot</v>
      </c>
      <c r="AN27" s="210" t="str">
        <f t="array" ref="AN27">IFERROR(
 INDEX(
  SCHEDULE!$A$1:$A$76,
   SMALL(
   IF(
    (ISNUMBER(SEARCH("A",SCHEDULE!AK$1:AK$76)))*
   ( (SCHEDULE!AJ$1:AJ$76=$B27)+(SCHEDULE!AJ$1:AJ$76=$C27)+(SCHEDULE!AJ$1:AJ$76=$D27)+(SCHEDULE!AJ$1:AJ$76=$E27)+(SCHEDULE!AJ$1:AJ$76=$F27)+ (SCHEDULE!AL$1:AL$76=$G27) ),
     ROW(SCHEDULE!BS$1:BS$76),
     ""
    ),COUNTIF($H$18:$H27,$H27)
  )
 ),"
Missing")</f>
        <v>Date Range</v>
      </c>
      <c r="AO27" s="210" t="str">
        <f t="array" ref="AO27">IFERROR(
 INDEX(
  SCHEDULE!$A$1:$A$76,
   SMALL(
   IF(
    (ISNUMBER(SEARCH("A",SCHEDULE!AL$1:AL$76)))*
   ( (SCHEDULE!AK$1:AK$76=$B27)+(SCHEDULE!AK$1:AK$76=$C27)+(SCHEDULE!AK$1:AK$76=$D27)+(SCHEDULE!AK$1:AK$76=$E27)+(SCHEDULE!AK$1:AK$76=$F27)+ (SCHEDULE!AM$1:AM$76=$G27) ),
     ROW(SCHEDULE!BT$1:BT$76),
     ""
    ),COUNTIF($H$18:$H27,$H27)
  )
 ),"
Missing")</f>
        <v>Jesse Grant</v>
      </c>
      <c r="AP27" s="210" t="str">
        <f t="array" ref="AP27">IFERROR(
 INDEX(
  SCHEDULE!$A$1:$A$76,
   SMALL(
   IF(
    (ISNUMBER(SEARCH("A",SCHEDULE!AM$1:AM$76)))*
   ( (SCHEDULE!AL$1:AL$76=$B27)+(SCHEDULE!AL$1:AL$76=$C27)+(SCHEDULE!AL$1:AL$76=$D27)+(SCHEDULE!AL$1:AL$76=$E27)+(SCHEDULE!AL$1:AL$76=$F27)+ (SCHEDULE!AN$1:AN$76=$G27) ),
     ROW(SCHEDULE!BU$1:BU$76),
     ""
    ),COUNTIF($H$18:$H27,$H27)
  )
 ),"
Missing")</f>
        <v>Blaze Chabot</v>
      </c>
      <c r="AQ27" s="210" t="str">
        <f t="array" ref="AQ27">IFERROR(
 INDEX(
  SCHEDULE!$A$1:$A$76,
   SMALL(
   IF(
    (ISNUMBER(SEARCH("A",SCHEDULE!AN$1:AN$76)))*
   ( (SCHEDULE!AM$1:AM$76=$B27)+(SCHEDULE!AM$1:AM$76=$C27)+(SCHEDULE!AM$1:AM$76=$D27)+(SCHEDULE!AM$1:AM$76=$E27)+(SCHEDULE!AM$1:AM$76=$F27)+ (SCHEDULE!AO$1:AO$76=$G27) ),
     ROW(SCHEDULE!BV$1:BV$76),
     ""
    ),COUNTIF($H$18:$H27,$H27)
  )
 ),"
Missing")</f>
        <v>Date Range</v>
      </c>
      <c r="AR27" s="210" t="str">
        <f t="array" ref="AR27">IFERROR(
 INDEX(
  SCHEDULE!$A$1:$A$76,
   SMALL(
   IF(
    (ISNUMBER(SEARCH("A",SCHEDULE!AO$1:AO$76)))*
   ( (SCHEDULE!AN$1:AN$76=$B27)+(SCHEDULE!AN$1:AN$76=$C27)+(SCHEDULE!AN$1:AN$76=$D27)+(SCHEDULE!AN$1:AN$76=$E27)+(SCHEDULE!AN$1:AN$76=$F27)+ (SCHEDULE!AP$1:AP$76=$G27) ),
     ROW(SCHEDULE!BW$1:BW$76),
     ""
    ),COUNTIF($H$18:$H27,$H27)
  )
 ),"
Missing")</f>
        <v>Jesse Grant</v>
      </c>
      <c r="AS27" s="210" t="str">
        <f t="array" ref="AS27">IFERROR(
 INDEX(
  SCHEDULE!$A$1:$A$76,
   SMALL(
   IF(
    (ISNUMBER(SEARCH("A",SCHEDULE!AP$1:AP$76)))*
   ( (SCHEDULE!AO$1:AO$76=$B27)+(SCHEDULE!AO$1:AO$76=$C27)+(SCHEDULE!AO$1:AO$76=$D27)+(SCHEDULE!AO$1:AO$76=$E27)+(SCHEDULE!AO$1:AO$76=$F27)+ (SCHEDULE!AQ$1:AQ$76=$G27) ),
     ROW(SCHEDULE!BX$1:BX$76),
     ""
    ),COUNTIF($H$18:$H27,$H27)
  )
 ),"
Missing")</f>
        <v>Blaze Chabot</v>
      </c>
      <c r="AT27" s="210" t="str">
        <f t="array" ref="AT27">IFERROR(
 INDEX(
  SCHEDULE!$A$1:$A$76,
   SMALL(
   IF(
    (ISNUMBER(SEARCH("A",SCHEDULE!AQ$1:AQ$76)))*
   ( (SCHEDULE!AP$1:AP$76=$B27)+(SCHEDULE!AP$1:AP$76=$C27)+(SCHEDULE!AP$1:AP$76=$D27)+(SCHEDULE!AP$1:AP$76=$E27)+(SCHEDULE!AP$1:AP$76=$F27)+ (SCHEDULE!AR$1:AR$76=$G27) ),
     ROW(SCHEDULE!BY$1:BY$76),
     ""
    ),COUNTIF($H$18:$H27,$H27)
  )
 ),"
Missing")</f>
        <v>Date Range</v>
      </c>
      <c r="AU27" s="210" t="str">
        <f t="array" ref="AU27">IFERROR(
 INDEX(
  SCHEDULE!$A$1:$A$76,
   SMALL(
   IF(
    (ISNUMBER(SEARCH("A",SCHEDULE!AR$1:AR$76)))*
   ( (SCHEDULE!AQ$1:AQ$76=$B27)+(SCHEDULE!AQ$1:AQ$76=$C27)+(SCHEDULE!AQ$1:AQ$76=$D27)+(SCHEDULE!AQ$1:AQ$76=$E27)+(SCHEDULE!AQ$1:AQ$76=$F27)+ (SCHEDULE!AS$1:AS$76=$G27) ),
     ROW(SCHEDULE!BZ$1:BZ$76),
     ""
    ),COUNTIF($H$18:$H27,$H27)
  )
 ),"
Missing")</f>
        <v>Jesse Grant</v>
      </c>
      <c r="AV27" s="210" t="str">
        <f t="array" ref="AV27">IFERROR(
 INDEX(
  SCHEDULE!$A$1:$A$76,
   SMALL(
   IF(
    (ISNUMBER(SEARCH("A",SCHEDULE!AS$1:AS$76)))*
   ( (SCHEDULE!AR$1:AR$76=$B27)+(SCHEDULE!AR$1:AR$76=$C27)+(SCHEDULE!AR$1:AR$76=$D27)+(SCHEDULE!AR$1:AR$76=$E27)+(SCHEDULE!AR$1:AR$76=$F27)+ (SCHEDULE!AT$1:AT$76=$G27) ),
     ROW(SCHEDULE!CA$1:CA$76),
     ""
    ),COUNTIF($H$18:$H27,$H27)
  )
 ),"
Missing")</f>
        <v xml:space="preserve">
Missing</v>
      </c>
      <c r="AW27" s="210" t="str">
        <f t="array" ref="AW27">IFERROR(
 INDEX(
  SCHEDULE!$A$1:$A$76,
   SMALL(
   IF(
    (ISNUMBER(SEARCH("A",SCHEDULE!AT$1:AT$76)))*
   ( (SCHEDULE!AS$1:AS$76=$B27)+(SCHEDULE!AS$1:AS$76=$C27)+(SCHEDULE!AS$1:AS$76=$D27)+(SCHEDULE!AS$1:AS$76=$E27)+(SCHEDULE!AS$1:AS$76=$F27)+ (SCHEDULE!AU$1:AU$76=$G27) ),
     ROW(SCHEDULE!CB$1:CB$76),
     ""
    ),COUNTIF($H$18:$H27,$H27)
  )
 ),"
Missing")</f>
        <v>Date Range</v>
      </c>
      <c r="AX27" s="210" t="str">
        <f t="array" ref="AX27">IFERROR(
 INDEX(
  SCHEDULE!$A$1:$A$76,
   SMALL(
   IF(
    (ISNUMBER(SEARCH("A",SCHEDULE!AU$1:AU$76)))*
   ( (SCHEDULE!AT$1:AT$76=$B27)+(SCHEDULE!AT$1:AT$76=$C27)+(SCHEDULE!AT$1:AT$76=$D27)+(SCHEDULE!AT$1:AT$76=$E27)+(SCHEDULE!AT$1:AT$76=$F27)+ (SCHEDULE!AV$1:AV$76=$G27) ),
     ROW(SCHEDULE!CC$1:CC$76),
     ""
    ),COUNTIF($H$18:$H27,$H27)
  )
 ),"
Missing")</f>
        <v>Ed Baron</v>
      </c>
      <c r="AY27" s="210" t="str">
        <f t="array" ref="AY27">IFERROR(
 INDEX(
  SCHEDULE!$A$1:$A$76,
   SMALL(
   IF(
    (ISNUMBER(SEARCH("A",SCHEDULE!AV$1:AV$76)))*
   ( (SCHEDULE!AU$1:AU$76=$B27)+(SCHEDULE!AU$1:AU$76=$C27)+(SCHEDULE!AU$1:AU$76=$D27)+(SCHEDULE!AU$1:AU$76=$E27)+(SCHEDULE!AU$1:AU$76=$F27)+ (SCHEDULE!AW$1:AW$76=$G27) ),
     ROW(SCHEDULE!CD$1:CD$76),
     ""
    ),COUNTIF($H$18:$H27,$H27)
  )
 ),"
Missing")</f>
        <v xml:space="preserve">
Missing</v>
      </c>
      <c r="AZ27" s="210" t="str">
        <f t="array" ref="AZ27">IFERROR(
 INDEX(
  SCHEDULE!$A$1:$A$76,
   SMALL(
   IF(
    (ISNUMBER(SEARCH("A",SCHEDULE!AW$1:AW$76)))*
   ( (SCHEDULE!AV$1:AV$76=$B27)+(SCHEDULE!AV$1:AV$76=$C27)+(SCHEDULE!AV$1:AV$76=$D27)+(SCHEDULE!AV$1:AV$76=$E27)+(SCHEDULE!AV$1:AV$76=$F27)+ (SCHEDULE!AX$1:AX$76=$G27) ),
     ROW(SCHEDULE!CE$1:CE$76),
     ""
    ),COUNTIF($H$18:$H27,$H27)
  )
 ),"
Missing")</f>
        <v>Date Range</v>
      </c>
      <c r="BA27" s="210" t="str">
        <f t="array" ref="BA27">IFERROR(
 INDEX(
  SCHEDULE!$A$1:$A$76,
   SMALL(
   IF(
    (ISNUMBER(SEARCH("A",SCHEDULE!AX$1:AX$76)))*
   ( (SCHEDULE!AW$1:AW$76=$B27)+(SCHEDULE!AW$1:AW$76=$C27)+(SCHEDULE!AW$1:AW$76=$D27)+(SCHEDULE!AW$1:AW$76=$E27)+(SCHEDULE!AW$1:AW$76=$F27)+ (SCHEDULE!AY$1:AY$76=$G27) ),
     ROW(SCHEDULE!CF$1:CF$76),
     ""
    ),COUNTIF($H$18:$H27,$H27)
  )
 ),"
Missing")</f>
        <v>Ed Baron</v>
      </c>
      <c r="BB27" s="210" t="str">
        <f t="array" ref="BB27">IFERROR(
 INDEX(
  SCHEDULE!$A$1:$A$76,
   SMALL(
   IF(
    (ISNUMBER(SEARCH("A",SCHEDULE!AY$1:AY$76)))*
   ( (SCHEDULE!AX$1:AX$76=$B27)+(SCHEDULE!AX$1:AX$76=$C27)+(SCHEDULE!AX$1:AX$76=$D27)+(SCHEDULE!AX$1:AX$76=$E27)+(SCHEDULE!AX$1:AX$76=$F27)+ (SCHEDULE!AZ$1:AZ$76=$G27) ),
     ROW(SCHEDULE!CG$1:CG$76),
     ""
    ),COUNTIF($H$18:$H27,$H27)
  )
 ),"
Missing")</f>
        <v xml:space="preserve">
Missing</v>
      </c>
      <c r="BC27" s="210" t="str">
        <f t="array" ref="BC27">IFERROR(
 INDEX(
  SCHEDULE!$A$1:$A$76,
   SMALL(
   IF(
    (ISNUMBER(SEARCH("A",SCHEDULE!AZ$1:AZ$76)))*
   ( (SCHEDULE!AY$1:AY$76=$B27)+(SCHEDULE!AY$1:AY$76=$C27)+(SCHEDULE!AY$1:AY$76=$D27)+(SCHEDULE!AY$1:AY$76=$E27)+(SCHEDULE!AY$1:AY$76=$F27)+ (SCHEDULE!BA$1:BA$76=$G27) ),
     ROW(SCHEDULE!CH$1:CH$76),
     ""
    ),COUNTIF($H$18:$H27,$H27)
  )
 ),"
Missing")</f>
        <v xml:space="preserve">
Missing</v>
      </c>
      <c r="BD27" s="210" t="str">
        <f t="array" ref="BD27">IFERROR(
 INDEX(
  SCHEDULE!$A$1:$A$76,
   SMALL(
   IF(
    (ISNUMBER(SEARCH("A",SCHEDULE!BA$1:BA$76)))*
   ( (SCHEDULE!AZ$1:AZ$76=$B27)+(SCHEDULE!AZ$1:AZ$76=$C27)+(SCHEDULE!AZ$1:AZ$76=$D27)+(SCHEDULE!AZ$1:AZ$76=$E27)+(SCHEDULE!AZ$1:AZ$76=$F27)+ (SCHEDULE!BB$1:BB$76=$G27) ),
     ROW(SCHEDULE!CI$1:CI$76),
     ""
    ),COUNTIF($H$18:$H27,$H27)
  )
 ),"
Missing")</f>
        <v>Date Range</v>
      </c>
      <c r="BE27" s="210" t="str">
        <f t="array" ref="BE27">IFERROR(
 INDEX(
  SCHEDULE!$A$1:$A$76,
   SMALL(
   IF(
    (ISNUMBER(SEARCH("A",SCHEDULE!BB$1:BB$76)))*
   ( (SCHEDULE!BA$1:BA$76=$B27)+(SCHEDULE!BA$1:BA$76=$C27)+(SCHEDULE!BA$1:BA$76=$D27)+(SCHEDULE!BA$1:BA$76=$E27)+(SCHEDULE!BA$1:BA$76=$F27)+ (SCHEDULE!BC$1:BC$76=$G27) ),
     ROW(SCHEDULE!CJ$1:CJ$76),
     ""
    ),COUNTIF($H$18:$H27,$H27)
  )
 ),"
Missing")</f>
        <v>James Mitchell</v>
      </c>
    </row>
    <row r="28" spans="2:57" x14ac:dyDescent="0.2">
      <c r="B28" s="227">
        <v>0.91666666666666663</v>
      </c>
      <c r="C28" s="227" t="s">
        <v>86</v>
      </c>
      <c r="D28" s="227"/>
      <c r="E28" s="227"/>
      <c r="F28" s="227"/>
      <c r="G28" s="227" t="s">
        <v>86</v>
      </c>
      <c r="H28" s="228" t="s">
        <v>29</v>
      </c>
      <c r="I28" s="210" t="str">
        <f t="array" ref="I28">IFERROR(
 INDEX(
  SCHEDULE!$A$1:$A$76,
   SMALL(
   IF(
    (ISNUMBER(SEARCH("A",SCHEDULE!F$1:F$76)))*
   ( (SCHEDULE!E$1:E$76=$B28)+(SCHEDULE!E$1:E$76=$C28)+(SCHEDULE!E$1:E$76=$D28)+(SCHEDULE!E$1:E$76=$E28)+(SCHEDULE!E$1:E$76=$F28)+ (SCHEDULE!G$1:G$76=$G28) ),
     ROW(SCHEDULE!AN$1:AN$76),
     ""
    ),COUNTIF($H$18:$H28,$H28)
  )
 ),"
Missing")</f>
        <v>Jason Melone</v>
      </c>
      <c r="J28" s="210" t="str">
        <f t="array" ref="J28">IFERROR(
 INDEX(
  SCHEDULE!$A$1:$A$76,
   SMALL(
   IF(
    (ISNUMBER(SEARCH("A",SCHEDULE!G$1:G$76)))*
   ( (SCHEDULE!F$1:F$76=$B28)+(SCHEDULE!F$1:F$76=$C28)+(SCHEDULE!F$1:F$76=$D28)+(SCHEDULE!F$1:F$76=$E28)+(SCHEDULE!F$1:F$76=$F28)+ (SCHEDULE!H$1:H$76=$G28) ),
     ROW(SCHEDULE!AO$1:AO$76),
     ""
    ),COUNTIF($H$18:$H28,$H28)
  )
 ),"
Missing")</f>
        <v xml:space="preserve">
Missing</v>
      </c>
      <c r="K28" s="210" t="str">
        <f t="array" ref="K28">IFERROR(
 INDEX(
  SCHEDULE!$A$1:$A$76,
   SMALL(
   IF(
    (ISNUMBER(SEARCH("A",SCHEDULE!H$1:H$76)))*
   ( (SCHEDULE!G$1:G$76=$B28)+(SCHEDULE!G$1:G$76=$C28)+(SCHEDULE!G$1:G$76=$D28)+(SCHEDULE!G$1:G$76=$E28)+(SCHEDULE!G$1:G$76=$F28)+ (SCHEDULE!I$1:I$76=$G28) ),
     ROW(SCHEDULE!AP$1:AP$76),
     ""
    ),COUNTIF($H$18:$H28,$H28)
  )
 ),"
Missing")</f>
        <v xml:space="preserve">
Missing</v>
      </c>
      <c r="L28" s="210" t="str">
        <f t="array" ref="L28">IFERROR(
 INDEX(
  SCHEDULE!$A$1:$A$76,
   SMALL(
   IF(
    (ISNUMBER(SEARCH("A",SCHEDULE!I$1:I$76)))*
   ( (SCHEDULE!H$1:H$76=$B28)+(SCHEDULE!H$1:H$76=$C28)+(SCHEDULE!H$1:H$76=$D28)+(SCHEDULE!H$1:H$76=$E28)+(SCHEDULE!H$1:H$76=$F28)+ (SCHEDULE!J$1:J$76=$G28) ),
     ROW(SCHEDULE!AQ$1:AQ$76),
     ""
    ),COUNTIF($H$18:$H28,$H28)
  )
 ),"
Missing")</f>
        <v>Agent</v>
      </c>
      <c r="M28" s="210" t="str">
        <f t="array" ref="M28">IFERROR(
 INDEX(
  SCHEDULE!$A$1:$A$76,
   SMALL(
   IF(
    (ISNUMBER(SEARCH("A",SCHEDULE!J$1:J$76)))*
   ( (SCHEDULE!I$1:I$76=$B28)+(SCHEDULE!I$1:I$76=$C28)+(SCHEDULE!I$1:I$76=$D28)+(SCHEDULE!I$1:I$76=$E28)+(SCHEDULE!I$1:I$76=$F28)+ (SCHEDULE!K$1:K$76=$G28) ),
     ROW(SCHEDULE!AR$1:AR$76),
     ""
    ),COUNTIF($H$18:$H28,$H28)
  )
 ),"
Missing")</f>
        <v>Ryan Crimm</v>
      </c>
      <c r="N28" s="210" t="str">
        <f t="array" ref="N28">IFERROR(
 INDEX(
  SCHEDULE!$A$1:$A$76,
   SMALL(
   IF(
    (ISNUMBER(SEARCH("A",SCHEDULE!K$1:K$76)))*
   ( (SCHEDULE!J$1:J$76=$B28)+(SCHEDULE!J$1:J$76=$C28)+(SCHEDULE!J$1:J$76=$D28)+(SCHEDULE!J$1:J$76=$E28)+(SCHEDULE!J$1:J$76=$F28)+ (SCHEDULE!L$1:L$76=$G28) ),
     ROW(SCHEDULE!AS$1:AS$76),
     ""
    ),COUNTIF($H$18:$H28,$H28)
  )
 ),"
Missing")</f>
        <v xml:space="preserve">
Missing</v>
      </c>
      <c r="O28" s="210" t="str">
        <f t="array" ref="O28">IFERROR(
 INDEX(
  SCHEDULE!$A$1:$A$76,
   SMALL(
   IF(
    (ISNUMBER(SEARCH("A",SCHEDULE!L$1:L$76)))*
   ( (SCHEDULE!K$1:K$76=$B28)+(SCHEDULE!K$1:K$76=$C28)+(SCHEDULE!K$1:K$76=$D28)+(SCHEDULE!K$1:K$76=$E28)+(SCHEDULE!K$1:K$76=$F28)+ (SCHEDULE!M$1:M$76=$G28) ),
     ROW(SCHEDULE!AT$1:AT$76),
     ""
    ),COUNTIF($H$18:$H28,$H28)
  )
 ),"
Missing")</f>
        <v>Blaze Chabot</v>
      </c>
      <c r="P28" s="210" t="str">
        <f t="array" ref="P28">IFERROR(
 INDEX(
  SCHEDULE!$A$1:$A$76,
   SMALL(
   IF(
    (ISNUMBER(SEARCH("A",SCHEDULE!M$1:M$76)))*
   ( (SCHEDULE!L$1:L$76=$B28)+(SCHEDULE!L$1:L$76=$C28)+(SCHEDULE!L$1:L$76=$D28)+(SCHEDULE!L$1:L$76=$E28)+(SCHEDULE!L$1:L$76=$F28)+ (SCHEDULE!N$1:N$76=$G28) ),
     ROW(SCHEDULE!AU$1:AU$76),
     ""
    ),COUNTIF($H$18:$H28,$H28)
  )
 ),"
Missing")</f>
        <v>Ryan Crimm</v>
      </c>
      <c r="Q28" s="210" t="str">
        <f t="array" ref="Q28">IFERROR(
 INDEX(
  SCHEDULE!$A$1:$A$76,
   SMALL(
   IF(
    (ISNUMBER(SEARCH("A",SCHEDULE!N$1:N$76)))*
   ( (SCHEDULE!M$1:M$76=$B28)+(SCHEDULE!M$1:M$76=$C28)+(SCHEDULE!M$1:M$76=$D28)+(SCHEDULE!M$1:M$76=$E28)+(SCHEDULE!M$1:M$76=$F28)+ (SCHEDULE!O$1:O$76=$G28) ),
     ROW(SCHEDULE!AV$1:AV$76),
     ""
    ),COUNTIF($H$18:$H28,$H28)
  )
 ),"
Missing")</f>
        <v>Cameron Wood</v>
      </c>
      <c r="R28" s="210" t="str">
        <f t="array" ref="R28">IFERROR(
 INDEX(
  SCHEDULE!$A$1:$A$76,
   SMALL(
   IF(
    (ISNUMBER(SEARCH("A",SCHEDULE!O$1:O$76)))*
   ( (SCHEDULE!N$1:N$76=$B28)+(SCHEDULE!N$1:N$76=$C28)+(SCHEDULE!N$1:N$76=$D28)+(SCHEDULE!N$1:N$76=$E28)+(SCHEDULE!N$1:N$76=$F28)+ (SCHEDULE!P$1:P$76=$G28) ),
     ROW(SCHEDULE!AW$1:AW$76),
     ""
    ),COUNTIF($H$18:$H28,$H28)
  )
 ),"
Missing")</f>
        <v xml:space="preserve">
Missing</v>
      </c>
      <c r="S28" s="210" t="str">
        <f t="array" ref="S28">IFERROR(
 INDEX(
  SCHEDULE!$A$1:$A$76,
   SMALL(
   IF(
    (ISNUMBER(SEARCH("A",SCHEDULE!P$1:P$76)))*
   ( (SCHEDULE!O$1:O$76=$B28)+(SCHEDULE!O$1:O$76=$C28)+(SCHEDULE!O$1:O$76=$D28)+(SCHEDULE!O$1:O$76=$E28)+(SCHEDULE!O$1:O$76=$F28)+ (SCHEDULE!Q$1:Q$76=$G28) ),
     ROW(SCHEDULE!AX$1:AX$76),
     ""
    ),COUNTIF($H$18:$H28,$H28)
  )
 ),"
Missing")</f>
        <v>Ryan Crimm</v>
      </c>
      <c r="T28" s="210" t="str">
        <f t="array" ref="T28">IFERROR(
 INDEX(
  SCHEDULE!$A$1:$A$76,
   SMALL(
   IF(
    (ISNUMBER(SEARCH("A",SCHEDULE!Q$1:Q$76)))*
   ( (SCHEDULE!P$1:P$76=$B28)+(SCHEDULE!P$1:P$76=$C28)+(SCHEDULE!P$1:P$76=$D28)+(SCHEDULE!P$1:P$76=$E28)+(SCHEDULE!P$1:P$76=$F28)+ (SCHEDULE!R$1:R$76=$G28) ),
     ROW(SCHEDULE!AY$1:AY$76),
     ""
    ),COUNTIF($H$18:$H28,$H28)
  )
 ),"
Missing")</f>
        <v>Cameron Wood</v>
      </c>
      <c r="U28" s="210" t="str">
        <f t="array" ref="U28">IFERROR(
 INDEX(
  SCHEDULE!$A$1:$A$76,
   SMALL(
   IF(
    (ISNUMBER(SEARCH("A",SCHEDULE!R$1:R$76)))*
   ( (SCHEDULE!Q$1:Q$76=$B28)+(SCHEDULE!Q$1:Q$76=$C28)+(SCHEDULE!Q$1:Q$76=$D28)+(SCHEDULE!Q$1:Q$76=$E28)+(SCHEDULE!Q$1:Q$76=$F28)+ (SCHEDULE!S$1:S$76=$G28) ),
     ROW(SCHEDULE!AZ$1:AZ$76),
     ""
    ),COUNTIF($H$18:$H28,$H28)
  )
 ),"
Missing")</f>
        <v xml:space="preserve">
Missing</v>
      </c>
      <c r="V28" s="210" t="str">
        <f t="array" ref="V28">IFERROR(
 INDEX(
  SCHEDULE!$A$1:$A$76,
   SMALL(
   IF(
    (ISNUMBER(SEARCH("A",SCHEDULE!S$1:S$76)))*
   ( (SCHEDULE!R$1:R$76=$B28)+(SCHEDULE!R$1:R$76=$C28)+(SCHEDULE!R$1:R$76=$D28)+(SCHEDULE!R$1:R$76=$E28)+(SCHEDULE!R$1:R$76=$F28)+ (SCHEDULE!T$1:T$76=$G28) ),
     ROW(SCHEDULE!BA$1:BA$76),
     ""
    ),COUNTIF($H$18:$H28,$H28)
  )
 ),"
Missing")</f>
        <v>Taylor Stewart</v>
      </c>
      <c r="W28" s="210" t="str">
        <f t="array" ref="W28">IFERROR(
 INDEX(
  SCHEDULE!$A$1:$A$76,
   SMALL(
   IF(
    (ISNUMBER(SEARCH("A",SCHEDULE!T$1:T$76)))*
   ( (SCHEDULE!S$1:S$76=$B28)+(SCHEDULE!S$1:S$76=$C28)+(SCHEDULE!S$1:S$76=$D28)+(SCHEDULE!S$1:S$76=$E28)+(SCHEDULE!S$1:S$76=$F28)+ (SCHEDULE!U$1:U$76=$G28) ),
     ROW(SCHEDULE!BB$1:BB$76),
     ""
    ),COUNTIF($H$18:$H28,$H28)
  )
 ),"
Missing")</f>
        <v>Cameron Wood</v>
      </c>
      <c r="X28" s="210" t="str">
        <f t="array" ref="X28">IFERROR(
 INDEX(
  SCHEDULE!$A$1:$A$76,
   SMALL(
   IF(
    (ISNUMBER(SEARCH("A",SCHEDULE!U$1:U$76)))*
   ( (SCHEDULE!T$1:T$76=$B28)+(SCHEDULE!T$1:T$76=$C28)+(SCHEDULE!T$1:T$76=$D28)+(SCHEDULE!T$1:T$76=$E28)+(SCHEDULE!T$1:T$76=$F28)+ (SCHEDULE!V$1:V$76=$G28) ),
     ROW(SCHEDULE!BC$1:BC$76),
     ""
    ),COUNTIF($H$18:$H28,$H28)
  )
 ),"
Missing")</f>
        <v xml:space="preserve">
Missing</v>
      </c>
      <c r="Y28" s="210" t="str">
        <f t="array" ref="Y28">IFERROR(
 INDEX(
  SCHEDULE!$A$1:$A$76,
   SMALL(
   IF(
    (ISNUMBER(SEARCH("A",SCHEDULE!V$1:V$76)))*
   ( (SCHEDULE!U$1:U$76=$B28)+(SCHEDULE!U$1:U$76=$C28)+(SCHEDULE!U$1:U$76=$D28)+(SCHEDULE!U$1:U$76=$E28)+(SCHEDULE!U$1:U$76=$F28)+ (SCHEDULE!W$1:W$76=$G28) ),
     ROW(SCHEDULE!BD$1:BD$76),
     ""
    ),COUNTIF($H$18:$H28,$H28)
  )
 ),"
Missing")</f>
        <v>Taylor Stewart</v>
      </c>
      <c r="Z28" s="210" t="str">
        <f t="array" ref="Z28">IFERROR(
 INDEX(
  SCHEDULE!$A$1:$A$76,
   SMALL(
   IF(
    (ISNUMBER(SEARCH("A",SCHEDULE!W$1:W$76)))*
   ( (SCHEDULE!V$1:V$76=$B28)+(SCHEDULE!V$1:V$76=$C28)+(SCHEDULE!V$1:V$76=$D28)+(SCHEDULE!V$1:V$76=$E28)+(SCHEDULE!V$1:V$76=$F28)+ (SCHEDULE!X$1:X$76=$G28) ),
     ROW(SCHEDULE!BE$1:BE$76),
     ""
    ),COUNTIF($H$18:$H28,$H28)
  )
 ),"
Missing")</f>
        <v>Cameron Wood</v>
      </c>
      <c r="AA28" s="210" t="str">
        <f t="array" ref="AA28">IFERROR(
 INDEX(
  SCHEDULE!$A$1:$A$76,
   SMALL(
   IF(
    (ISNUMBER(SEARCH("A",SCHEDULE!X$1:X$76)))*
   ( (SCHEDULE!W$1:W$76=$B28)+(SCHEDULE!W$1:W$76=$C28)+(SCHEDULE!W$1:W$76=$D28)+(SCHEDULE!W$1:W$76=$E28)+(SCHEDULE!W$1:W$76=$F28)+ (SCHEDULE!Y$1:Y$76=$G28) ),
     ROW(SCHEDULE!BF$1:BF$76),
     ""
    ),COUNTIF($H$18:$H28,$H28)
  )
 ),"
Missing")</f>
        <v xml:space="preserve">
Missing</v>
      </c>
      <c r="AB28" s="210" t="str">
        <f t="array" ref="AB28">IFERROR(
 INDEX(
  SCHEDULE!$A$1:$A$76,
   SMALL(
   IF(
    (ISNUMBER(SEARCH("A",SCHEDULE!Y$1:Y$76)))*
   ( (SCHEDULE!X$1:X$76=$B28)+(SCHEDULE!X$1:X$76=$C28)+(SCHEDULE!X$1:X$76=$D28)+(SCHEDULE!X$1:X$76=$E28)+(SCHEDULE!X$1:X$76=$F28)+ (SCHEDULE!Z$1:Z$76=$G28) ),
     ROW(SCHEDULE!BG$1:BG$76),
     ""
    ),COUNTIF($H$18:$H28,$H28)
  )
 ),"
Missing")</f>
        <v>Paul Soares</v>
      </c>
      <c r="AC28" s="210" t="str">
        <f t="array" ref="AC28">IFERROR(
 INDEX(
  SCHEDULE!$A$1:$A$76,
   SMALL(
   IF(
    (ISNUMBER(SEARCH("A",SCHEDULE!Z$1:Z$76)))*
   ( (SCHEDULE!Y$1:Y$76=$B28)+(SCHEDULE!Y$1:Y$76=$C28)+(SCHEDULE!Y$1:Y$76=$D28)+(SCHEDULE!Y$1:Y$76=$E28)+(SCHEDULE!Y$1:Y$76=$F28)+ (SCHEDULE!AA$1:AA$76=$G28) ),
     ROW(SCHEDULE!BH$1:BH$76),
     ""
    ),COUNTIF($H$18:$H28,$H28)
  )
 ),"
Missing")</f>
        <v>Cameron Wood</v>
      </c>
      <c r="AD28" s="210" t="str">
        <f t="array" ref="AD28">IFERROR(
 INDEX(
  SCHEDULE!$A$1:$A$76,
   SMALL(
   IF(
    (ISNUMBER(SEARCH("A",SCHEDULE!AA$1:AA$76)))*
   ( (SCHEDULE!Z$1:Z$76=$B28)+(SCHEDULE!Z$1:Z$76=$C28)+(SCHEDULE!Z$1:Z$76=$D28)+(SCHEDULE!Z$1:Z$76=$E28)+(SCHEDULE!Z$1:Z$76=$F28)+ (SCHEDULE!AB$1:AB$76=$G28) ),
     ROW(SCHEDULE!BI$1:BI$76),
     ""
    ),COUNTIF($H$18:$H28,$H28)
  )
 ),"
Missing")</f>
        <v xml:space="preserve">
Missing</v>
      </c>
      <c r="AE28" s="210" t="str">
        <f t="array" ref="AE28">IFERROR(
 INDEX(
  SCHEDULE!$A$1:$A$76,
   SMALL(
   IF(
    (ISNUMBER(SEARCH("A",SCHEDULE!AB$1:AB$76)))*
   ( (SCHEDULE!AA$1:AA$76=$B28)+(SCHEDULE!AA$1:AA$76=$C28)+(SCHEDULE!AA$1:AA$76=$D28)+(SCHEDULE!AA$1:AA$76=$E28)+(SCHEDULE!AA$1:AA$76=$F28)+ (SCHEDULE!AC$1:AC$76=$G28) ),
     ROW(SCHEDULE!BJ$1:BJ$76),
     ""
    ),COUNTIF($H$18:$H28,$H28)
  )
 ),"
Missing")</f>
        <v>Paul Soares</v>
      </c>
      <c r="AF28" s="210" t="str">
        <f t="array" ref="AF28">IFERROR(
 INDEX(
  SCHEDULE!$A$1:$A$76,
   SMALL(
   IF(
    (ISNUMBER(SEARCH("A",SCHEDULE!AC$1:AC$76)))*
   ( (SCHEDULE!AB$1:AB$76=$B28)+(SCHEDULE!AB$1:AB$76=$C28)+(SCHEDULE!AB$1:AB$76=$D28)+(SCHEDULE!AB$1:AB$76=$E28)+(SCHEDULE!AB$1:AB$76=$F28)+ (SCHEDULE!AD$1:AD$76=$G28) ),
     ROW(SCHEDULE!BK$1:BK$76),
     ""
    ),COUNTIF($H$18:$H28,$H28)
  )
 ),"
Missing")</f>
        <v xml:space="preserve">
Missing</v>
      </c>
      <c r="AG28" s="210" t="str">
        <f t="array" ref="AG28">IFERROR(
 INDEX(
  SCHEDULE!$A$1:$A$76,
   SMALL(
   IF(
    (ISNUMBER(SEARCH("A",SCHEDULE!AD$1:AD$76)))*
   ( (SCHEDULE!AC$1:AC$76=$B28)+(SCHEDULE!AC$1:AC$76=$C28)+(SCHEDULE!AC$1:AC$76=$D28)+(SCHEDULE!AC$1:AC$76=$E28)+(SCHEDULE!AC$1:AC$76=$F28)+ (SCHEDULE!AE$1:AE$76=$G28) ),
     ROW(SCHEDULE!BL$1:BL$76),
     ""
    ),COUNTIF($H$18:$H28,$H28)
  )
 ),"
Missing")</f>
        <v xml:space="preserve">
Missing</v>
      </c>
      <c r="AH28" s="210" t="str">
        <f t="array" ref="AH28">IFERROR(
 INDEX(
  SCHEDULE!$A$1:$A$76,
   SMALL(
   IF(
    (ISNUMBER(SEARCH("A",SCHEDULE!AE$1:AE$76)))*
   ( (SCHEDULE!AD$1:AD$76=$B28)+(SCHEDULE!AD$1:AD$76=$C28)+(SCHEDULE!AD$1:AD$76=$D28)+(SCHEDULE!AD$1:AD$76=$E28)+(SCHEDULE!AD$1:AD$76=$F28)+ (SCHEDULE!AF$1:AF$76=$G28) ),
     ROW(SCHEDULE!BM$1:BM$76),
     ""
    ),COUNTIF($H$18:$H28,$H28)
  )
 ),"
Missing")</f>
        <v>Agent</v>
      </c>
      <c r="AI28" s="210" t="str">
        <f t="array" ref="AI28">IFERROR(
 INDEX(
  SCHEDULE!$A$1:$A$76,
   SMALL(
   IF(
    (ISNUMBER(SEARCH("A",SCHEDULE!AF$1:AF$76)))*
   ( (SCHEDULE!AE$1:AE$76=$B28)+(SCHEDULE!AE$1:AE$76=$C28)+(SCHEDULE!AE$1:AE$76=$D28)+(SCHEDULE!AE$1:AE$76=$E28)+(SCHEDULE!AE$1:AE$76=$F28)+ (SCHEDULE!AG$1:AG$76=$G28) ),
     ROW(SCHEDULE!BN$1:BN$76),
     ""
    ),COUNTIF($H$18:$H28,$H28)
  )
 ),"
Missing")</f>
        <v>Paul Soares</v>
      </c>
      <c r="AJ28" s="210" t="str">
        <f t="array" ref="AJ28">IFERROR(
 INDEX(
  SCHEDULE!$A$1:$A$76,
   SMALL(
   IF(
    (ISNUMBER(SEARCH("A",SCHEDULE!AG$1:AG$76)))*
   ( (SCHEDULE!AF$1:AF$76=$B28)+(SCHEDULE!AF$1:AF$76=$C28)+(SCHEDULE!AF$1:AF$76=$D28)+(SCHEDULE!AF$1:AF$76=$E28)+(SCHEDULE!AF$1:AF$76=$F28)+ (SCHEDULE!AH$1:AH$76=$G28) ),
     ROW(SCHEDULE!BO$1:BO$76),
     ""
    ),COUNTIF($H$18:$H28,$H28)
  )
 ),"
Missing")</f>
        <v xml:space="preserve">
Missing</v>
      </c>
      <c r="AK28" s="210" t="str">
        <f t="array" ref="AK28">IFERROR(
 INDEX(
  SCHEDULE!$A$1:$A$76,
   SMALL(
   IF(
    (ISNUMBER(SEARCH("A",SCHEDULE!AH$1:AH$76)))*
   ( (SCHEDULE!AG$1:AG$76=$B28)+(SCHEDULE!AG$1:AG$76=$C28)+(SCHEDULE!AG$1:AG$76=$D28)+(SCHEDULE!AG$1:AG$76=$E28)+(SCHEDULE!AG$1:AG$76=$F28)+ (SCHEDULE!AI$1:AI$76=$G28) ),
     ROW(SCHEDULE!BP$1:BP$76),
     ""
    ),COUNTIF($H$18:$H28,$H28)
  )
 ),"
Missing")</f>
        <v>Andrew Metcalf</v>
      </c>
      <c r="AL28" s="210" t="str">
        <f t="array" ref="AL28">IFERROR(
 INDEX(
  SCHEDULE!$A$1:$A$76,
   SMALL(
   IF(
    (ISNUMBER(SEARCH("A",SCHEDULE!AI$1:AI$76)))*
   ( (SCHEDULE!AH$1:AH$76=$B28)+(SCHEDULE!AH$1:AH$76=$C28)+(SCHEDULE!AH$1:AH$76=$D28)+(SCHEDULE!AH$1:AH$76=$E28)+(SCHEDULE!AH$1:AH$76=$F28)+ (SCHEDULE!AJ$1:AJ$76=$G28) ),
     ROW(SCHEDULE!BQ$1:BQ$76),
     ""
    ),COUNTIF($H$18:$H28,$H28)
  )
 ),"
Missing")</f>
        <v>Ryan Crimm</v>
      </c>
      <c r="AM28" s="210" t="str">
        <f t="array" ref="AM28">IFERROR(
 INDEX(
  SCHEDULE!$A$1:$A$76,
   SMALL(
   IF(
    (ISNUMBER(SEARCH("A",SCHEDULE!AJ$1:AJ$76)))*
   ( (SCHEDULE!AI$1:AI$76=$B28)+(SCHEDULE!AI$1:AI$76=$C28)+(SCHEDULE!AI$1:AI$76=$D28)+(SCHEDULE!AI$1:AI$76=$E28)+(SCHEDULE!AI$1:AI$76=$F28)+ (SCHEDULE!AK$1:AK$76=$G28) ),
     ROW(SCHEDULE!BR$1:BR$76),
     ""
    ),COUNTIF($H$18:$H28,$H28)
  )
 ),"
Missing")</f>
        <v>Cameron Wood</v>
      </c>
      <c r="AN28" s="210" t="str">
        <f t="array" ref="AN28">IFERROR(
 INDEX(
  SCHEDULE!$A$1:$A$76,
   SMALL(
   IF(
    (ISNUMBER(SEARCH("A",SCHEDULE!AK$1:AK$76)))*
   ( (SCHEDULE!AJ$1:AJ$76=$B28)+(SCHEDULE!AJ$1:AJ$76=$C28)+(SCHEDULE!AJ$1:AJ$76=$D28)+(SCHEDULE!AJ$1:AJ$76=$E28)+(SCHEDULE!AJ$1:AJ$76=$F28)+ (SCHEDULE!AL$1:AL$76=$G28) ),
     ROW(SCHEDULE!BS$1:BS$76),
     ""
    ),COUNTIF($H$18:$H28,$H28)
  )
 ),"
Missing")</f>
        <v>Andrew Metcalf</v>
      </c>
      <c r="AO28" s="210" t="str">
        <f t="array" ref="AO28">IFERROR(
 INDEX(
  SCHEDULE!$A$1:$A$76,
   SMALL(
   IF(
    (ISNUMBER(SEARCH("A",SCHEDULE!AL$1:AL$76)))*
   ( (SCHEDULE!AK$1:AK$76=$B28)+(SCHEDULE!AK$1:AK$76=$C28)+(SCHEDULE!AK$1:AK$76=$D28)+(SCHEDULE!AK$1:AK$76=$E28)+(SCHEDULE!AK$1:AK$76=$F28)+ (SCHEDULE!AM$1:AM$76=$G28) ),
     ROW(SCHEDULE!BT$1:BT$76),
     ""
    ),COUNTIF($H$18:$H28,$H28)
  )
 ),"
Missing")</f>
        <v>Ryan Crimm</v>
      </c>
      <c r="AP28" s="210" t="str">
        <f t="array" ref="AP28">IFERROR(
 INDEX(
  SCHEDULE!$A$1:$A$76,
   SMALL(
   IF(
    (ISNUMBER(SEARCH("A",SCHEDULE!AM$1:AM$76)))*
   ( (SCHEDULE!AL$1:AL$76=$B28)+(SCHEDULE!AL$1:AL$76=$C28)+(SCHEDULE!AL$1:AL$76=$D28)+(SCHEDULE!AL$1:AL$76=$E28)+(SCHEDULE!AL$1:AL$76=$F28)+ (SCHEDULE!AN$1:AN$76=$G28) ),
     ROW(SCHEDULE!BU$1:BU$76),
     ""
    ),COUNTIF($H$18:$H28,$H28)
  )
 ),"
Missing")</f>
        <v>Cameron Wood</v>
      </c>
      <c r="AQ28" s="210" t="str">
        <f t="array" ref="AQ28">IFERROR(
 INDEX(
  SCHEDULE!$A$1:$A$76,
   SMALL(
   IF(
    (ISNUMBER(SEARCH("A",SCHEDULE!AN$1:AN$76)))*
   ( (SCHEDULE!AM$1:AM$76=$B28)+(SCHEDULE!AM$1:AM$76=$C28)+(SCHEDULE!AM$1:AM$76=$D28)+(SCHEDULE!AM$1:AM$76=$E28)+(SCHEDULE!AM$1:AM$76=$F28)+ (SCHEDULE!AO$1:AO$76=$G28) ),
     ROW(SCHEDULE!BV$1:BV$76),
     ""
    ),COUNTIF($H$18:$H28,$H28)
  )
 ),"
Missing")</f>
        <v>Andrew Metcalf</v>
      </c>
      <c r="AR28" s="210" t="str">
        <f t="array" ref="AR28">IFERROR(
 INDEX(
  SCHEDULE!$A$1:$A$76,
   SMALL(
   IF(
    (ISNUMBER(SEARCH("A",SCHEDULE!AO$1:AO$76)))*
   ( (SCHEDULE!AN$1:AN$76=$B28)+(SCHEDULE!AN$1:AN$76=$C28)+(SCHEDULE!AN$1:AN$76=$D28)+(SCHEDULE!AN$1:AN$76=$E28)+(SCHEDULE!AN$1:AN$76=$F28)+ (SCHEDULE!AP$1:AP$76=$G28) ),
     ROW(SCHEDULE!BW$1:BW$76),
     ""
    ),COUNTIF($H$18:$H28,$H28)
  )
 ),"
Missing")</f>
        <v>Ryan Crimm</v>
      </c>
      <c r="AS28" s="210" t="str">
        <f t="array" ref="AS28">IFERROR(
 INDEX(
  SCHEDULE!$A$1:$A$76,
   SMALL(
   IF(
    (ISNUMBER(SEARCH("A",SCHEDULE!AP$1:AP$76)))*
   ( (SCHEDULE!AO$1:AO$76=$B28)+(SCHEDULE!AO$1:AO$76=$C28)+(SCHEDULE!AO$1:AO$76=$D28)+(SCHEDULE!AO$1:AO$76=$E28)+(SCHEDULE!AO$1:AO$76=$F28)+ (SCHEDULE!AQ$1:AQ$76=$G28) ),
     ROW(SCHEDULE!BX$1:BX$76),
     ""
    ),COUNTIF($H$18:$H28,$H28)
  )
 ),"
Missing")</f>
        <v>Cameron Wood</v>
      </c>
      <c r="AT28" s="210" t="str">
        <f t="array" ref="AT28">IFERROR(
 INDEX(
  SCHEDULE!$A$1:$A$76,
   SMALL(
   IF(
    (ISNUMBER(SEARCH("A",SCHEDULE!AQ$1:AQ$76)))*
   ( (SCHEDULE!AP$1:AP$76=$B28)+(SCHEDULE!AP$1:AP$76=$C28)+(SCHEDULE!AP$1:AP$76=$D28)+(SCHEDULE!AP$1:AP$76=$E28)+(SCHEDULE!AP$1:AP$76=$F28)+ (SCHEDULE!AR$1:AR$76=$G28) ),
     ROW(SCHEDULE!BY$1:BY$76),
     ""
    ),COUNTIF($H$18:$H28,$H28)
  )
 ),"
Missing")</f>
        <v>Andrew Metcalf</v>
      </c>
      <c r="AU28" s="210" t="str">
        <f t="array" ref="AU28">IFERROR(
 INDEX(
  SCHEDULE!$A$1:$A$76,
   SMALL(
   IF(
    (ISNUMBER(SEARCH("A",SCHEDULE!AR$1:AR$76)))*
   ( (SCHEDULE!AQ$1:AQ$76=$B28)+(SCHEDULE!AQ$1:AQ$76=$C28)+(SCHEDULE!AQ$1:AQ$76=$D28)+(SCHEDULE!AQ$1:AQ$76=$E28)+(SCHEDULE!AQ$1:AQ$76=$F28)+ (SCHEDULE!AS$1:AS$76=$G28) ),
     ROW(SCHEDULE!BZ$1:BZ$76),
     ""
    ),COUNTIF($H$18:$H28,$H28)
  )
 ),"
Missing")</f>
        <v>Ryan Crimm</v>
      </c>
      <c r="AV28" s="210" t="str">
        <f t="array" ref="AV28">IFERROR(
 INDEX(
  SCHEDULE!$A$1:$A$76,
   SMALL(
   IF(
    (ISNUMBER(SEARCH("A",SCHEDULE!AS$1:AS$76)))*
   ( (SCHEDULE!AR$1:AR$76=$B28)+(SCHEDULE!AR$1:AR$76=$C28)+(SCHEDULE!AR$1:AR$76=$D28)+(SCHEDULE!AR$1:AR$76=$E28)+(SCHEDULE!AR$1:AR$76=$F28)+ (SCHEDULE!AT$1:AT$76=$G28) ),
     ROW(SCHEDULE!CA$1:CA$76),
     ""
    ),COUNTIF($H$18:$H28,$H28)
  )
 ),"
Missing")</f>
        <v xml:space="preserve">
Missing</v>
      </c>
      <c r="AW28" s="210" t="str">
        <f t="array" ref="AW28">IFERROR(
 INDEX(
  SCHEDULE!$A$1:$A$76,
   SMALL(
   IF(
    (ISNUMBER(SEARCH("A",SCHEDULE!AT$1:AT$76)))*
   ( (SCHEDULE!AS$1:AS$76=$B28)+(SCHEDULE!AS$1:AS$76=$C28)+(SCHEDULE!AS$1:AS$76=$D28)+(SCHEDULE!AS$1:AS$76=$E28)+(SCHEDULE!AS$1:AS$76=$F28)+ (SCHEDULE!AU$1:AU$76=$G28) ),
     ROW(SCHEDULE!CB$1:CB$76),
     ""
    ),COUNTIF($H$18:$H28,$H28)
  )
 ),"
Missing")</f>
        <v>Andrew Metcalf</v>
      </c>
      <c r="AX28" s="210" t="str">
        <f t="array" ref="AX28">IFERROR(
 INDEX(
  SCHEDULE!$A$1:$A$76,
   SMALL(
   IF(
    (ISNUMBER(SEARCH("A",SCHEDULE!AU$1:AU$76)))*
   ( (SCHEDULE!AT$1:AT$76=$B28)+(SCHEDULE!AT$1:AT$76=$C28)+(SCHEDULE!AT$1:AT$76=$D28)+(SCHEDULE!AT$1:AT$76=$E28)+(SCHEDULE!AT$1:AT$76=$F28)+ (SCHEDULE!AV$1:AV$76=$G28) ),
     ROW(SCHEDULE!CC$1:CC$76),
     ""
    ),COUNTIF($H$18:$H28,$H28)
  )
 ),"
Missing")</f>
        <v>Paul Soares</v>
      </c>
      <c r="AY28" s="210" t="str">
        <f t="array" ref="AY28">IFERROR(
 INDEX(
  SCHEDULE!$A$1:$A$76,
   SMALL(
   IF(
    (ISNUMBER(SEARCH("A",SCHEDULE!AV$1:AV$76)))*
   ( (SCHEDULE!AU$1:AU$76=$B28)+(SCHEDULE!AU$1:AU$76=$C28)+(SCHEDULE!AU$1:AU$76=$D28)+(SCHEDULE!AU$1:AU$76=$E28)+(SCHEDULE!AU$1:AU$76=$F28)+ (SCHEDULE!AW$1:AW$76=$G28) ),
     ROW(SCHEDULE!CD$1:CD$76),
     ""
    ),COUNTIF($H$18:$H28,$H28)
  )
 ),"
Missing")</f>
        <v xml:space="preserve">
Missing</v>
      </c>
      <c r="AZ28" s="210" t="str">
        <f t="array" ref="AZ28">IFERROR(
 INDEX(
  SCHEDULE!$A$1:$A$76,
   SMALL(
   IF(
    (ISNUMBER(SEARCH("A",SCHEDULE!AW$1:AW$76)))*
   ( (SCHEDULE!AV$1:AV$76=$B28)+(SCHEDULE!AV$1:AV$76=$C28)+(SCHEDULE!AV$1:AV$76=$D28)+(SCHEDULE!AV$1:AV$76=$E28)+(SCHEDULE!AV$1:AV$76=$F28)+ (SCHEDULE!AX$1:AX$76=$G28) ),
     ROW(SCHEDULE!CE$1:CE$76),
     ""
    ),COUNTIF($H$18:$H28,$H28)
  )
 ),"
Missing")</f>
        <v xml:space="preserve">
Missing</v>
      </c>
      <c r="BA28" s="210" t="str">
        <f t="array" ref="BA28">IFERROR(
 INDEX(
  SCHEDULE!$A$1:$A$76,
   SMALL(
   IF(
    (ISNUMBER(SEARCH("A",SCHEDULE!AX$1:AX$76)))*
   ( (SCHEDULE!AW$1:AW$76=$B28)+(SCHEDULE!AW$1:AW$76=$C28)+(SCHEDULE!AW$1:AW$76=$D28)+(SCHEDULE!AW$1:AW$76=$E28)+(SCHEDULE!AW$1:AW$76=$F28)+ (SCHEDULE!AY$1:AY$76=$G28) ),
     ROW(SCHEDULE!CF$1:CF$76),
     ""
    ),COUNTIF($H$18:$H28,$H28)
  )
 ),"
Missing")</f>
        <v>Paul Soares</v>
      </c>
      <c r="BB28" s="210" t="str">
        <f t="array" ref="BB28">IFERROR(
 INDEX(
  SCHEDULE!$A$1:$A$76,
   SMALL(
   IF(
    (ISNUMBER(SEARCH("A",SCHEDULE!AY$1:AY$76)))*
   ( (SCHEDULE!AX$1:AX$76=$B28)+(SCHEDULE!AX$1:AX$76=$C28)+(SCHEDULE!AX$1:AX$76=$D28)+(SCHEDULE!AX$1:AX$76=$E28)+(SCHEDULE!AX$1:AX$76=$F28)+ (SCHEDULE!AZ$1:AZ$76=$G28) ),
     ROW(SCHEDULE!CG$1:CG$76),
     ""
    ),COUNTIF($H$18:$H28,$H28)
  )
 ),"
Missing")</f>
        <v xml:space="preserve">
Missing</v>
      </c>
      <c r="BC28" s="210" t="str">
        <f t="array" ref="BC28">IFERROR(
 INDEX(
  SCHEDULE!$A$1:$A$76,
   SMALL(
   IF(
    (ISNUMBER(SEARCH("A",SCHEDULE!AZ$1:AZ$76)))*
   ( (SCHEDULE!AY$1:AY$76=$B28)+(SCHEDULE!AY$1:AY$76=$C28)+(SCHEDULE!AY$1:AY$76=$D28)+(SCHEDULE!AY$1:AY$76=$E28)+(SCHEDULE!AY$1:AY$76=$F28)+ (SCHEDULE!BA$1:BA$76=$G28) ),
     ROW(SCHEDULE!CH$1:CH$76),
     ""
    ),COUNTIF($H$18:$H28,$H28)
  )
 ),"
Missing")</f>
        <v xml:space="preserve">
Missing</v>
      </c>
      <c r="BD28" s="210" t="str">
        <f t="array" ref="BD28">IFERROR(
 INDEX(
  SCHEDULE!$A$1:$A$76,
   SMALL(
   IF(
    (ISNUMBER(SEARCH("A",SCHEDULE!BA$1:BA$76)))*
   ( (SCHEDULE!AZ$1:AZ$76=$B28)+(SCHEDULE!AZ$1:AZ$76=$C28)+(SCHEDULE!AZ$1:AZ$76=$D28)+(SCHEDULE!AZ$1:AZ$76=$E28)+(SCHEDULE!AZ$1:AZ$76=$F28)+ (SCHEDULE!BB$1:BB$76=$G28) ),
     ROW(SCHEDULE!CI$1:CI$76),
     ""
    ),COUNTIF($H$18:$H28,$H28)
  )
 ),"
Missing")</f>
        <v>Agent</v>
      </c>
      <c r="BE28" s="210" t="str">
        <f t="array" ref="BE28">IFERROR(
 INDEX(
  SCHEDULE!$A$1:$A$76,
   SMALL(
   IF(
    (ISNUMBER(SEARCH("A",SCHEDULE!BB$1:BB$76)))*
   ( (SCHEDULE!BA$1:BA$76=$B28)+(SCHEDULE!BA$1:BA$76=$C28)+(SCHEDULE!BA$1:BA$76=$D28)+(SCHEDULE!BA$1:BA$76=$E28)+(SCHEDULE!BA$1:BA$76=$F28)+ (SCHEDULE!BC$1:BC$76=$G28) ),
     ROW(SCHEDULE!CJ$1:CJ$76),
     ""
    ),COUNTIF($H$18:$H28,$H28)
  )
 ),"
Missing")</f>
        <v>Ryan Crimm</v>
      </c>
    </row>
    <row r="31" spans="2:57" x14ac:dyDescent="0.2">
      <c r="H31" s="237"/>
    </row>
    <row r="32" spans="2:57" x14ac:dyDescent="0.2">
      <c r="H32" s="305"/>
    </row>
    <row r="33" spans="8:8" x14ac:dyDescent="0.2">
      <c r="H33" s="306"/>
    </row>
    <row r="34" spans="8:8" x14ac:dyDescent="0.2">
      <c r="H34" s="307"/>
    </row>
    <row r="35" spans="8:8" x14ac:dyDescent="0.2">
      <c r="H35" s="306"/>
    </row>
    <row r="36" spans="8:8" x14ac:dyDescent="0.2">
      <c r="H36" s="306"/>
    </row>
    <row r="37" spans="8:8" x14ac:dyDescent="0.2">
      <c r="H37" s="306"/>
    </row>
    <row r="38" spans="8:8" x14ac:dyDescent="0.2">
      <c r="H38" s="307"/>
    </row>
    <row r="39" spans="8:8" x14ac:dyDescent="0.2">
      <c r="H39" s="307"/>
    </row>
    <row r="40" spans="8:8" x14ac:dyDescent="0.2">
      <c r="H40" s="306"/>
    </row>
    <row r="41" spans="8:8" x14ac:dyDescent="0.2">
      <c r="H41" s="306"/>
    </row>
    <row r="42" spans="8:8" x14ac:dyDescent="0.2">
      <c r="H42" s="306"/>
    </row>
    <row r="43" spans="8:8" x14ac:dyDescent="0.2">
      <c r="H43" s="306"/>
    </row>
    <row r="44" spans="8:8" x14ac:dyDescent="0.2">
      <c r="H44" s="307"/>
    </row>
    <row r="45" spans="8:8" x14ac:dyDescent="0.2">
      <c r="H45" s="306"/>
    </row>
    <row r="46" spans="8:8" x14ac:dyDescent="0.2">
      <c r="H46" s="307"/>
    </row>
    <row r="47" spans="8:8" x14ac:dyDescent="0.2">
      <c r="H47" s="308"/>
    </row>
    <row r="48" spans="8:8" x14ac:dyDescent="0.2">
      <c r="H48" s="308"/>
    </row>
    <row r="49" spans="8:9" x14ac:dyDescent="0.2">
      <c r="H49" s="131"/>
    </row>
    <row r="50" spans="8:9" x14ac:dyDescent="0.2">
      <c r="H50" s="131"/>
    </row>
    <row r="51" spans="8:9" x14ac:dyDescent="0.2">
      <c r="H51" s="131"/>
    </row>
    <row r="52" spans="8:9" x14ac:dyDescent="0.2">
      <c r="H52" s="131"/>
    </row>
    <row r="53" spans="8:9" x14ac:dyDescent="0.2">
      <c r="H53" s="131"/>
      <c r="I53" s="235"/>
    </row>
    <row r="54" spans="8:9" x14ac:dyDescent="0.2">
      <c r="H54" s="131"/>
      <c r="I54" s="235"/>
    </row>
    <row r="55" spans="8:9" x14ac:dyDescent="0.2">
      <c r="H55" s="131"/>
      <c r="I55" s="235"/>
    </row>
    <row r="56" spans="8:9" x14ac:dyDescent="0.2">
      <c r="H56" s="308"/>
      <c r="I56" s="235"/>
    </row>
    <row r="57" spans="8:9" x14ac:dyDescent="0.2">
      <c r="H57" s="308"/>
    </row>
    <row r="58" spans="8:9" x14ac:dyDescent="0.2">
      <c r="H58" s="131"/>
    </row>
    <row r="59" spans="8:9" x14ac:dyDescent="0.2">
      <c r="H59" s="131"/>
    </row>
    <row r="60" spans="8:9" x14ac:dyDescent="0.2">
      <c r="H60" s="131"/>
    </row>
    <row r="61" spans="8:9" x14ac:dyDescent="0.2">
      <c r="H61" s="131"/>
    </row>
    <row r="62" spans="8:9" x14ac:dyDescent="0.2">
      <c r="H62" s="131"/>
    </row>
    <row r="63" spans="8:9" x14ac:dyDescent="0.2">
      <c r="H63" s="131"/>
    </row>
    <row r="64" spans="8:9" x14ac:dyDescent="0.2">
      <c r="H64" s="131"/>
    </row>
    <row r="65" spans="8:8" x14ac:dyDescent="0.2">
      <c r="H65" s="131"/>
    </row>
    <row r="66" spans="8:8" x14ac:dyDescent="0.2">
      <c r="H66" s="131"/>
    </row>
    <row r="67" spans="8:8" x14ac:dyDescent="0.2">
      <c r="H67" s="131"/>
    </row>
    <row r="68" spans="8:8" x14ac:dyDescent="0.2">
      <c r="H68" s="131"/>
    </row>
    <row r="69" spans="8:8" x14ac:dyDescent="0.2">
      <c r="H69" s="131"/>
    </row>
    <row r="70" spans="8:8" x14ac:dyDescent="0.2">
      <c r="H70" s="308"/>
    </row>
    <row r="71" spans="8:8" x14ac:dyDescent="0.2">
      <c r="H71" s="308"/>
    </row>
    <row r="72" spans="8:8" x14ac:dyDescent="0.2">
      <c r="H72" s="308"/>
    </row>
    <row r="73" spans="8:8" x14ac:dyDescent="0.2">
      <c r="H73" s="131"/>
    </row>
    <row r="74" spans="8:8" x14ac:dyDescent="0.2">
      <c r="H74" s="308"/>
    </row>
    <row r="75" spans="8:8" x14ac:dyDescent="0.2">
      <c r="H75" s="308"/>
    </row>
    <row r="76" spans="8:8" x14ac:dyDescent="0.2">
      <c r="H76" s="308"/>
    </row>
    <row r="77" spans="8:8" x14ac:dyDescent="0.2">
      <c r="H77" s="131"/>
    </row>
    <row r="78" spans="8:8" x14ac:dyDescent="0.2">
      <c r="H78" s="131"/>
    </row>
    <row r="79" spans="8:8" x14ac:dyDescent="0.2">
      <c r="H79" s="308"/>
    </row>
    <row r="80" spans="8:8" x14ac:dyDescent="0.2">
      <c r="H80" s="308"/>
    </row>
    <row r="81" spans="8:8" x14ac:dyDescent="0.2">
      <c r="H81" s="131"/>
    </row>
  </sheetData>
  <sortState ref="H32:H49">
    <sortCondition ref="H30"/>
  </sortState>
  <customSheetViews>
    <customSheetView guid="{F6731307-C738-4B81-929D-C14136A8C5CD}" showFormulas="1" hiddenColumns="1">
      <selection sqref="A1:BA8"/>
      <pageMargins left="0.7" right="0.7" top="0.75" bottom="0.75" header="0.3" footer="0.3"/>
    </customSheetView>
    <customSheetView guid="{0F3AF1BA-63A8-4070-AD04-7CF3FB7A7890}" hiddenColumns="1" topLeftCell="H1">
      <selection activeCell="O70" sqref="O70"/>
      <pageMargins left="0.7" right="0.7" top="0.75" bottom="0.75" header="0.3" footer="0.3"/>
    </customSheetView>
    <customSheetView guid="{208A5925-1FA9-41B4-AB84-DB668CD24F85}" scale="85" showPageBreaks="1" hiddenRows="1" hiddenColumns="1">
      <selection activeCell="A18" sqref="A18"/>
      <pageMargins left="0.7" right="0.7" top="0.75" bottom="0.75" header="0.3" footer="0.3"/>
      <pageSetup orientation="portrait" r:id="rId1"/>
    </customSheetView>
    <customSheetView guid="{633586D4-0157-4906-81B3-3B97799576BB}" showFormulas="1" hiddenColumns="1">
      <selection sqref="A1:BA8"/>
      <pageMargins left="0.7" right="0.7" top="0.75" bottom="0.75" header="0.3" footer="0.3"/>
    </customSheetView>
    <customSheetView guid="{B03D3321-8578-44D0-9847-93996289F773}" hiddenColumns="1">
      <selection activeCell="E55" sqref="E55"/>
      <pageMargins left="0.7" right="0.7" top="0.75" bottom="0.75" header="0.3" footer="0.3"/>
    </customSheetView>
    <customSheetView guid="{BD40F652-0BD1-49AB-8864-915916104548}" hiddenColumns="1">
      <selection activeCell="H16" sqref="H16"/>
      <pageMargins left="0.7" right="0.7" top="0.75" bottom="0.75" header="0.3" footer="0.3"/>
    </customSheetView>
    <customSheetView guid="{655C266F-B06D-4F08-B6E7-FAA4004CC24D}" hiddenColumns="1" topLeftCell="V1">
      <selection activeCell="BA29" sqref="BA29"/>
      <pageMargins left="0.7" right="0.7" top="0.75" bottom="0.75" header="0.3" footer="0.3"/>
    </customSheetView>
    <customSheetView guid="{510EAB28-63CB-43E2-9432-C75C3110CE1E}" showFormulas="1" hiddenColumns="1">
      <selection sqref="A1:BA8"/>
      <pageMargins left="0.7" right="0.7" top="0.75" bottom="0.75" header="0.3" footer="0.3"/>
    </customSheetView>
  </customSheetViews>
  <mergeCells count="1">
    <mergeCell ref="I2:K2"/>
  </mergeCells>
  <conditionalFormatting sqref="A53:XFD1048576 B31:G52 H31 J31:XFD52 H33:H52 A3:XFD15 A29:XFD30 A16:A28 BF16:XFD28">
    <cfRule type="containsText" dxfId="16" priority="12" stopIfTrue="1" operator="containsText" text="Missing">
      <formula>NOT(ISERROR(SEARCH("Missing",A3)))</formula>
    </cfRule>
  </conditionalFormatting>
  <conditionalFormatting sqref="A9:XFD10">
    <cfRule type="notContainsBlanks" dxfId="15" priority="18">
      <formula>LEN(TRIM(A9))&gt;0</formula>
    </cfRule>
  </conditionalFormatting>
  <conditionalFormatting sqref="A11:XFD12">
    <cfRule type="notContainsBlanks" dxfId="14" priority="19">
      <formula>LEN(TRIM(A11))&gt;0</formula>
    </cfRule>
  </conditionalFormatting>
  <conditionalFormatting sqref="K2">
    <cfRule type="expression" dxfId="13" priority="13" stopIfTrue="1">
      <formula>L70&gt;0</formula>
    </cfRule>
  </conditionalFormatting>
  <conditionalFormatting sqref="I2:J2">
    <cfRule type="expression" dxfId="12" priority="14" stopIfTrue="1">
      <formula>K70&gt;0</formula>
    </cfRule>
  </conditionalFormatting>
  <conditionalFormatting sqref="A7:XFD8 D7:F10">
    <cfRule type="notContainsBlanks" dxfId="11" priority="17">
      <formula>LEN(TRIM(A7))&gt;0</formula>
    </cfRule>
  </conditionalFormatting>
  <conditionalFormatting sqref="B18:H28">
    <cfRule type="containsText" dxfId="10" priority="6" stopIfTrue="1" operator="containsText" text="Missing">
      <formula>NOT(ISERROR(SEARCH("Missing",B18)))</formula>
    </cfRule>
  </conditionalFormatting>
  <conditionalFormatting sqref="B24:H26">
    <cfRule type="notContainsBlanks" dxfId="9" priority="10">
      <formula>LEN(TRIM(B24))&gt;0</formula>
    </cfRule>
  </conditionalFormatting>
  <conditionalFormatting sqref="B27:H28">
    <cfRule type="notContainsBlanks" dxfId="8" priority="11">
      <formula>LEN(TRIM(B27))&gt;0</formula>
    </cfRule>
  </conditionalFormatting>
  <conditionalFormatting sqref="K17">
    <cfRule type="expression" dxfId="7" priority="7" stopIfTrue="1">
      <formula>L85&gt;0</formula>
    </cfRule>
  </conditionalFormatting>
  <conditionalFormatting sqref="I17:J17">
    <cfRule type="expression" dxfId="6" priority="8" stopIfTrue="1">
      <formula>K85&gt;0</formula>
    </cfRule>
  </conditionalFormatting>
  <conditionalFormatting sqref="B22:H23 D24:F26">
    <cfRule type="notContainsBlanks" dxfId="5" priority="9">
      <formula>LEN(TRIM(B22))&gt;0</formula>
    </cfRule>
  </conditionalFormatting>
  <conditionalFormatting sqref="I18:BE28">
    <cfRule type="containsText" dxfId="4" priority="1" stopIfTrue="1" operator="containsText" text="Missing">
      <formula>NOT(ISERROR(SEARCH("Missing",I18)))</formula>
    </cfRule>
  </conditionalFormatting>
  <conditionalFormatting sqref="I24:BE26">
    <cfRule type="notContainsBlanks" dxfId="3" priority="4">
      <formula>LEN(TRIM(I24))&gt;0</formula>
    </cfRule>
  </conditionalFormatting>
  <conditionalFormatting sqref="I27:BE28">
    <cfRule type="notContainsBlanks" dxfId="2" priority="5">
      <formula>LEN(TRIM(I27))&gt;0</formula>
    </cfRule>
  </conditionalFormatting>
  <conditionalFormatting sqref="I22:BE23">
    <cfRule type="notContainsBlanks" dxfId="1" priority="3">
      <formula>LEN(TRIM(I22))&gt;0</formula>
    </cfRule>
  </conditionalFormatting>
  <conditionalFormatting sqref="A26:XFD26">
    <cfRule type="notContainsBlanks" dxfId="0" priority="2">
      <formula>LEN(TRIM(A26))&gt;0</formula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33"/>
  <sheetViews>
    <sheetView workbookViewId="0">
      <selection activeCell="AA36" sqref="AA36"/>
    </sheetView>
  </sheetViews>
  <sheetFormatPr defaultRowHeight="12.75" x14ac:dyDescent="0.2"/>
  <cols>
    <col min="1" max="1" width="9.42578125" customWidth="1"/>
    <col min="2" max="2" width="0.5703125" customWidth="1"/>
    <col min="3" max="3" width="5.28515625" bestFit="1" customWidth="1"/>
    <col min="4" max="4" width="4.42578125" bestFit="1" customWidth="1"/>
    <col min="5" max="5" width="3" bestFit="1" customWidth="1"/>
    <col min="6" max="6" width="5.5703125" bestFit="1" customWidth="1"/>
    <col min="7" max="7" width="5.28515625" bestFit="1" customWidth="1"/>
    <col min="8" max="8" width="4.42578125" bestFit="1" customWidth="1"/>
    <col min="9" max="9" width="3.140625" customWidth="1"/>
    <col min="10" max="10" width="5.5703125" bestFit="1" customWidth="1"/>
    <col min="11" max="11" width="5.28515625" bestFit="1" customWidth="1"/>
    <col min="12" max="12" width="4.42578125" bestFit="1" customWidth="1"/>
    <col min="13" max="13" width="2.5703125" customWidth="1"/>
    <col min="14" max="14" width="5.5703125" bestFit="1" customWidth="1"/>
    <col min="15" max="15" width="7.42578125" hidden="1" customWidth="1"/>
    <col min="16" max="16" width="6" customWidth="1"/>
    <col min="17" max="17" width="0.5703125" customWidth="1"/>
    <col min="18" max="18" width="6.42578125" customWidth="1"/>
    <col min="19" max="19" width="5.5703125" bestFit="1" customWidth="1"/>
    <col min="20" max="20" width="6.140625" customWidth="1"/>
    <col min="21" max="21" width="5.5703125" bestFit="1" customWidth="1"/>
    <col min="22" max="22" width="7.28515625" bestFit="1" customWidth="1"/>
    <col min="23" max="23" width="7.140625" customWidth="1"/>
  </cols>
  <sheetData>
    <row r="1" spans="1:24" ht="18" x14ac:dyDescent="0.25">
      <c r="A1" s="402" t="s">
        <v>38</v>
      </c>
      <c r="B1" s="402"/>
      <c r="C1" s="402"/>
      <c r="D1" s="402"/>
      <c r="E1" s="402"/>
      <c r="F1" s="402"/>
      <c r="G1" s="402"/>
      <c r="H1" s="402"/>
      <c r="I1" s="402"/>
      <c r="J1" s="402"/>
      <c r="K1" s="402"/>
      <c r="L1" s="402"/>
      <c r="M1" s="402"/>
      <c r="N1" s="402"/>
      <c r="O1" s="402"/>
      <c r="P1" s="402"/>
      <c r="Q1" s="402"/>
      <c r="R1" s="402"/>
      <c r="S1" s="402"/>
      <c r="T1" s="402"/>
      <c r="U1" s="402"/>
      <c r="V1" s="402"/>
      <c r="W1" s="61"/>
      <c r="X1" s="40"/>
    </row>
    <row r="2" spans="1:24" ht="12.75" customHeight="1" x14ac:dyDescent="0.2">
      <c r="B2" s="62"/>
      <c r="C2" s="403" t="s">
        <v>39</v>
      </c>
      <c r="D2" s="404"/>
      <c r="E2" s="404"/>
      <c r="F2" s="404"/>
      <c r="G2" s="406" t="s">
        <v>31</v>
      </c>
      <c r="H2" s="406"/>
      <c r="I2" s="406"/>
      <c r="J2" s="405"/>
      <c r="K2" s="403" t="s">
        <v>30</v>
      </c>
      <c r="L2" s="404"/>
      <c r="M2" s="404"/>
      <c r="N2" s="405"/>
      <c r="O2" s="63" t="s">
        <v>40</v>
      </c>
      <c r="P2" s="64" t="s">
        <v>41</v>
      </c>
      <c r="Q2" s="63"/>
      <c r="R2" s="407" t="s">
        <v>17</v>
      </c>
      <c r="S2" s="408"/>
      <c r="T2" s="407" t="s">
        <v>18</v>
      </c>
      <c r="U2" s="408"/>
      <c r="V2" s="65" t="s">
        <v>42</v>
      </c>
      <c r="W2" s="66"/>
      <c r="X2" s="40"/>
    </row>
    <row r="3" spans="1:24" ht="13.5" customHeight="1" thickBot="1" x14ac:dyDescent="0.25">
      <c r="A3" s="67" t="s">
        <v>43</v>
      </c>
      <c r="B3" s="67"/>
      <c r="C3" s="69" t="s">
        <v>35</v>
      </c>
      <c r="D3" s="67" t="s">
        <v>44</v>
      </c>
      <c r="E3" s="67" t="s">
        <v>45</v>
      </c>
      <c r="F3" s="68" t="s">
        <v>39</v>
      </c>
      <c r="G3" s="67" t="s">
        <v>35</v>
      </c>
      <c r="H3" s="67" t="s">
        <v>44</v>
      </c>
      <c r="I3" s="67" t="s">
        <v>45</v>
      </c>
      <c r="J3" s="70" t="s">
        <v>31</v>
      </c>
      <c r="K3" s="69" t="s">
        <v>35</v>
      </c>
      <c r="L3" s="67" t="s">
        <v>44</v>
      </c>
      <c r="M3" s="67" t="s">
        <v>45</v>
      </c>
      <c r="N3" s="68" t="s">
        <v>30</v>
      </c>
      <c r="O3" s="111"/>
      <c r="P3" s="112"/>
      <c r="Q3" s="71"/>
      <c r="R3" s="72" t="s">
        <v>47</v>
      </c>
      <c r="S3" s="72" t="s">
        <v>48</v>
      </c>
      <c r="T3" s="73" t="s">
        <v>47</v>
      </c>
      <c r="U3" s="74" t="s">
        <v>48</v>
      </c>
      <c r="V3" s="108"/>
      <c r="W3" s="66"/>
      <c r="X3" s="40"/>
    </row>
    <row r="4" spans="1:24" ht="13.5" customHeight="1" thickTop="1" x14ac:dyDescent="0.2">
      <c r="A4" s="85" t="s">
        <v>73</v>
      </c>
      <c r="B4" s="75"/>
      <c r="C4" s="52"/>
      <c r="D4" s="40"/>
      <c r="E4" s="40"/>
      <c r="F4" s="76">
        <f>SUM(C4:C$4)-SUM(D4:D$4)-(E4)</f>
        <v>0</v>
      </c>
      <c r="G4">
        <v>1</v>
      </c>
      <c r="J4" s="77">
        <f>SUM(G4:G$4)-SUM(H4:H$4)-(I4)</f>
        <v>1</v>
      </c>
      <c r="K4" s="52"/>
      <c r="L4" s="40"/>
      <c r="M4" s="40"/>
      <c r="N4" s="77">
        <f>SUM(K4:K$4)-SUM(L4:L$4)-(M4)</f>
        <v>0</v>
      </c>
      <c r="O4" s="78">
        <f>SUM(F4,J4,N4)</f>
        <v>1</v>
      </c>
      <c r="P4" s="79">
        <f>SUM(F4,J4)</f>
        <v>1</v>
      </c>
      <c r="Q4" s="78"/>
      <c r="R4" s="80">
        <f t="shared" ref="R4:R18" si="0">$P4*$T$24</f>
        <v>0.5</v>
      </c>
      <c r="S4" s="81">
        <f>R4*$T$28*$T$26</f>
        <v>1.875</v>
      </c>
      <c r="T4" s="82">
        <f>P4*$T$25</f>
        <v>0.5</v>
      </c>
      <c r="U4" s="83">
        <f>$T4*$T$29*$T$27</f>
        <v>1.0680000000000001</v>
      </c>
      <c r="V4" s="84">
        <f>$S4/SUM($S4,$U4)</f>
        <v>0.63710499490316008</v>
      </c>
      <c r="W4" s="97"/>
      <c r="X4" s="40"/>
    </row>
    <row r="5" spans="1:24" x14ac:dyDescent="0.2">
      <c r="A5" s="85" t="s">
        <v>49</v>
      </c>
      <c r="B5" s="75"/>
      <c r="C5" s="52">
        <v>3</v>
      </c>
      <c r="D5" s="40"/>
      <c r="E5" s="40"/>
      <c r="F5" s="76">
        <f>SUM(C$4:C5)-SUM(D$4:D5)-(E5)</f>
        <v>3</v>
      </c>
      <c r="G5">
        <v>3</v>
      </c>
      <c r="J5" s="77">
        <f>SUM(G$4:G5)-SUM(H$4:H5)-(I5)</f>
        <v>4</v>
      </c>
      <c r="K5" s="52">
        <v>1</v>
      </c>
      <c r="L5" s="40"/>
      <c r="M5" s="40"/>
      <c r="N5" s="77">
        <f>SUM(K$4:K5)-SUM(L$4:L5)-(M5)</f>
        <v>1</v>
      </c>
      <c r="O5" s="78">
        <f>SUM(F5,J5,N5)</f>
        <v>8</v>
      </c>
      <c r="P5" s="79">
        <f t="shared" ref="P5:P20" si="1">SUM(F5,J5)</f>
        <v>7</v>
      </c>
      <c r="Q5" s="78"/>
      <c r="R5" s="80">
        <f t="shared" si="0"/>
        <v>3.5</v>
      </c>
      <c r="S5" s="81">
        <f>R5*$T$28*$T$26</f>
        <v>13.125</v>
      </c>
      <c r="T5" s="82">
        <f>P5*$T$25</f>
        <v>3.5</v>
      </c>
      <c r="U5" s="83">
        <f>$T5*$T$29*$T$27</f>
        <v>7.4760000000000009</v>
      </c>
      <c r="V5" s="84">
        <f>$S5/SUM($S5,$U5)</f>
        <v>0.63710499490316008</v>
      </c>
      <c r="W5" s="80"/>
      <c r="X5" s="40"/>
    </row>
    <row r="6" spans="1:24" x14ac:dyDescent="0.2">
      <c r="A6" s="85" t="s">
        <v>50</v>
      </c>
      <c r="B6" s="75"/>
      <c r="C6" s="52">
        <v>5</v>
      </c>
      <c r="D6" s="40"/>
      <c r="E6" s="40"/>
      <c r="F6" s="76">
        <f>SUM(C$4:C6)-SUM(D$4:D6)-(E6)</f>
        <v>8</v>
      </c>
      <c r="G6">
        <v>2</v>
      </c>
      <c r="J6" s="77">
        <f>SUM(G$4:G6)-SUM(H$4:H6)-(I6)</f>
        <v>6</v>
      </c>
      <c r="K6" s="52">
        <v>1</v>
      </c>
      <c r="L6" s="40"/>
      <c r="M6" s="40"/>
      <c r="N6" s="77">
        <f>SUM(K$4:K6)-SUM(L$4:L6)-(M6)</f>
        <v>2</v>
      </c>
      <c r="O6" s="78">
        <f t="shared" ref="O6:O20" si="2">SUM(F6,J6,N6)</f>
        <v>16</v>
      </c>
      <c r="P6" s="79">
        <f t="shared" si="1"/>
        <v>14</v>
      </c>
      <c r="Q6" s="78"/>
      <c r="R6" s="80">
        <f t="shared" si="0"/>
        <v>7</v>
      </c>
      <c r="S6" s="81">
        <f t="shared" ref="S6:S20" si="3">R6*$T$28*$T$26</f>
        <v>26.25</v>
      </c>
      <c r="T6" s="82">
        <f t="shared" ref="T6:T20" si="4">P6*$T$25</f>
        <v>7</v>
      </c>
      <c r="U6" s="83">
        <f t="shared" ref="U6:U20" si="5">$T6*$T$29*$T$27</f>
        <v>14.952000000000002</v>
      </c>
      <c r="V6" s="84">
        <f t="shared" ref="V6:V20" si="6">$S6/SUM($S6,$U6)</f>
        <v>0.63710499490316008</v>
      </c>
      <c r="W6" s="80"/>
    </row>
    <row r="7" spans="1:24" x14ac:dyDescent="0.2">
      <c r="A7" s="85" t="s">
        <v>51</v>
      </c>
      <c r="B7" s="75"/>
      <c r="C7" s="52">
        <v>2</v>
      </c>
      <c r="D7" s="40"/>
      <c r="E7" s="40"/>
      <c r="F7" s="76">
        <f>SUM(C$4:C7)-SUM(D$4:D7)-(E7)</f>
        <v>10</v>
      </c>
      <c r="G7">
        <v>2</v>
      </c>
      <c r="J7" s="77">
        <f>SUM(G$4:G7)-SUM(H$4:H7)-(I7)</f>
        <v>8</v>
      </c>
      <c r="K7" s="52">
        <v>1</v>
      </c>
      <c r="L7" s="40"/>
      <c r="M7" s="40"/>
      <c r="N7" s="77">
        <f>SUM(K$4:K7)-SUM(L$4:L7)-(M7)</f>
        <v>3</v>
      </c>
      <c r="O7" s="78">
        <f t="shared" si="2"/>
        <v>21</v>
      </c>
      <c r="P7" s="79">
        <f t="shared" si="1"/>
        <v>18</v>
      </c>
      <c r="Q7" s="78"/>
      <c r="R7" s="80">
        <f t="shared" si="0"/>
        <v>9</v>
      </c>
      <c r="S7" s="81">
        <f t="shared" si="3"/>
        <v>33.75</v>
      </c>
      <c r="T7" s="82">
        <f t="shared" si="4"/>
        <v>9</v>
      </c>
      <c r="U7" s="83">
        <f t="shared" si="5"/>
        <v>19.223999999999997</v>
      </c>
      <c r="V7" s="84">
        <f t="shared" si="6"/>
        <v>0.63710499490316008</v>
      </c>
      <c r="W7" s="80"/>
    </row>
    <row r="8" spans="1:24" x14ac:dyDescent="0.2">
      <c r="A8" s="85" t="s">
        <v>52</v>
      </c>
      <c r="B8" s="75"/>
      <c r="C8" s="52">
        <v>6</v>
      </c>
      <c r="D8" s="40"/>
      <c r="E8" s="40"/>
      <c r="F8" s="76">
        <f>SUM(C$4:C8)-SUM(D$4:D8)-(E8)</f>
        <v>16</v>
      </c>
      <c r="G8">
        <v>2</v>
      </c>
      <c r="I8">
        <v>1</v>
      </c>
      <c r="J8" s="77">
        <f>SUM(G$4:G8)-SUM(H$4:H8)-(I8)</f>
        <v>9</v>
      </c>
      <c r="K8" s="52">
        <v>2</v>
      </c>
      <c r="L8" s="40"/>
      <c r="M8" s="40"/>
      <c r="N8" s="77">
        <f>SUM(K$4:K8)-SUM(L$4:L8)-(M8)</f>
        <v>5</v>
      </c>
      <c r="O8" s="78">
        <f t="shared" si="2"/>
        <v>30</v>
      </c>
      <c r="P8" s="79">
        <f t="shared" si="1"/>
        <v>25</v>
      </c>
      <c r="Q8" s="78"/>
      <c r="R8" s="80">
        <f t="shared" si="0"/>
        <v>12.5</v>
      </c>
      <c r="S8" s="81">
        <f t="shared" si="3"/>
        <v>46.875</v>
      </c>
      <c r="T8" s="82">
        <f t="shared" si="4"/>
        <v>12.5</v>
      </c>
      <c r="U8" s="83">
        <f t="shared" si="5"/>
        <v>26.7</v>
      </c>
      <c r="V8" s="84">
        <f t="shared" si="6"/>
        <v>0.63710499490315997</v>
      </c>
      <c r="W8" s="80"/>
    </row>
    <row r="9" spans="1:24" x14ac:dyDescent="0.2">
      <c r="A9" s="85" t="s">
        <v>53</v>
      </c>
      <c r="B9" s="75"/>
      <c r="C9" s="52"/>
      <c r="D9" s="40"/>
      <c r="E9" s="40">
        <v>3</v>
      </c>
      <c r="F9" s="76">
        <f>SUM(C$4:C9)-SUM(D$4:D9)-(E9)</f>
        <v>13</v>
      </c>
      <c r="G9">
        <v>1</v>
      </c>
      <c r="I9">
        <v>3</v>
      </c>
      <c r="J9" s="77">
        <f>SUM(G$4:G9)-SUM(H$4:H9)-(I9)</f>
        <v>8</v>
      </c>
      <c r="K9" s="52"/>
      <c r="L9" s="40"/>
      <c r="M9" s="40">
        <v>1</v>
      </c>
      <c r="N9" s="77">
        <f>SUM(K$4:K9)-SUM(L$4:L9)-(M9)</f>
        <v>4</v>
      </c>
      <c r="O9" s="78">
        <f t="shared" si="2"/>
        <v>25</v>
      </c>
      <c r="P9" s="79">
        <f t="shared" si="1"/>
        <v>21</v>
      </c>
      <c r="Q9" s="78"/>
      <c r="R9" s="80">
        <f t="shared" si="0"/>
        <v>10.5</v>
      </c>
      <c r="S9" s="81">
        <f t="shared" si="3"/>
        <v>39.375</v>
      </c>
      <c r="T9" s="82">
        <f t="shared" si="4"/>
        <v>10.5</v>
      </c>
      <c r="U9" s="83">
        <f t="shared" si="5"/>
        <v>22.428000000000001</v>
      </c>
      <c r="V9" s="84">
        <f t="shared" si="6"/>
        <v>0.63710499490316008</v>
      </c>
      <c r="W9" s="80"/>
    </row>
    <row r="10" spans="1:24" x14ac:dyDescent="0.2">
      <c r="A10" s="85" t="s">
        <v>54</v>
      </c>
      <c r="B10" s="75"/>
      <c r="C10" s="52"/>
      <c r="D10" s="40"/>
      <c r="E10" s="40">
        <v>5</v>
      </c>
      <c r="F10" s="76">
        <f>SUM(C$4:C10)-SUM(D$4:D10)-(E10)</f>
        <v>11</v>
      </c>
      <c r="I10">
        <v>2</v>
      </c>
      <c r="J10" s="77">
        <f>SUM(G$4:G10)-SUM(H$4:H10)-(I10)</f>
        <v>9</v>
      </c>
      <c r="K10" s="52"/>
      <c r="L10" s="40"/>
      <c r="M10" s="40">
        <v>1</v>
      </c>
      <c r="N10" s="77">
        <f>SUM(K$4:K10)-SUM(L$4:L10)-(M10)</f>
        <v>4</v>
      </c>
      <c r="O10" s="78">
        <f t="shared" si="2"/>
        <v>24</v>
      </c>
      <c r="P10" s="79">
        <f t="shared" si="1"/>
        <v>20</v>
      </c>
      <c r="Q10" s="78"/>
      <c r="R10" s="80">
        <f t="shared" si="0"/>
        <v>10</v>
      </c>
      <c r="S10" s="81">
        <f t="shared" si="3"/>
        <v>37.5</v>
      </c>
      <c r="T10" s="82">
        <f t="shared" si="4"/>
        <v>10</v>
      </c>
      <c r="U10" s="83">
        <f t="shared" si="5"/>
        <v>21.36</v>
      </c>
      <c r="V10" s="84">
        <f t="shared" si="6"/>
        <v>0.63710499490316008</v>
      </c>
      <c r="W10" s="80"/>
    </row>
    <row r="11" spans="1:24" x14ac:dyDescent="0.2">
      <c r="A11" s="85" t="s">
        <v>55</v>
      </c>
      <c r="B11" s="75"/>
      <c r="C11" s="52"/>
      <c r="D11" s="40"/>
      <c r="E11" s="40">
        <v>2</v>
      </c>
      <c r="F11" s="76">
        <f>SUM(C$4:C11)-SUM(D$4:D11)-(E11)</f>
        <v>14</v>
      </c>
      <c r="I11">
        <v>2</v>
      </c>
      <c r="J11" s="77">
        <f>SUM(G$4:G11)-SUM(H$4:H11)-(I11)</f>
        <v>9</v>
      </c>
      <c r="K11" s="52"/>
      <c r="L11" s="40"/>
      <c r="M11" s="40">
        <v>1</v>
      </c>
      <c r="N11" s="77">
        <f>SUM(K$4:K11)-SUM(L$4:L11)-(M11)</f>
        <v>4</v>
      </c>
      <c r="O11" s="78">
        <f t="shared" si="2"/>
        <v>27</v>
      </c>
      <c r="P11" s="79">
        <f t="shared" si="1"/>
        <v>23</v>
      </c>
      <c r="Q11" s="78"/>
      <c r="R11" s="80">
        <f t="shared" si="0"/>
        <v>11.5</v>
      </c>
      <c r="S11" s="81">
        <f t="shared" si="3"/>
        <v>43.125</v>
      </c>
      <c r="T11" s="82">
        <f t="shared" si="4"/>
        <v>11.5</v>
      </c>
      <c r="U11" s="83">
        <f t="shared" si="5"/>
        <v>24.564</v>
      </c>
      <c r="V11" s="84">
        <f t="shared" si="6"/>
        <v>0.63710499490316008</v>
      </c>
      <c r="W11" s="80"/>
    </row>
    <row r="12" spans="1:24" x14ac:dyDescent="0.2">
      <c r="A12" s="85" t="s">
        <v>56</v>
      </c>
      <c r="B12" s="75"/>
      <c r="C12" s="52"/>
      <c r="D12" s="40"/>
      <c r="E12" s="86">
        <v>6</v>
      </c>
      <c r="F12" s="76">
        <f>SUM(C$4:C12)-SUM(D$4:D12)-(E12)</f>
        <v>10</v>
      </c>
      <c r="I12">
        <v>2</v>
      </c>
      <c r="J12" s="77">
        <f>SUM(G$4:G12)-SUM(H$4:H12)-(I12)</f>
        <v>9</v>
      </c>
      <c r="K12" s="52"/>
      <c r="L12" s="40"/>
      <c r="M12" s="86">
        <v>2</v>
      </c>
      <c r="N12" s="77">
        <f>SUM(K$4:K12)-SUM(L$4:L12)-(M12)</f>
        <v>3</v>
      </c>
      <c r="O12" s="78">
        <f t="shared" si="2"/>
        <v>22</v>
      </c>
      <c r="P12" s="79">
        <f t="shared" si="1"/>
        <v>19</v>
      </c>
      <c r="Q12" s="78"/>
      <c r="R12" s="80">
        <f t="shared" si="0"/>
        <v>9.5</v>
      </c>
      <c r="S12" s="81">
        <f t="shared" si="3"/>
        <v>35.625</v>
      </c>
      <c r="T12" s="82">
        <f t="shared" si="4"/>
        <v>9.5</v>
      </c>
      <c r="U12" s="83">
        <f t="shared" si="5"/>
        <v>20.292000000000002</v>
      </c>
      <c r="V12" s="84">
        <f t="shared" si="6"/>
        <v>0.63710499490315997</v>
      </c>
      <c r="W12" s="80"/>
    </row>
    <row r="13" spans="1:24" x14ac:dyDescent="0.2">
      <c r="A13" s="85" t="s">
        <v>57</v>
      </c>
      <c r="B13" s="75"/>
      <c r="C13" s="52">
        <v>3</v>
      </c>
      <c r="D13" s="40"/>
      <c r="E13" s="86"/>
      <c r="F13" s="76">
        <f>SUM(C$4:C13)-SUM(D$4:D13)-(E13)</f>
        <v>19</v>
      </c>
      <c r="G13">
        <v>1</v>
      </c>
      <c r="H13">
        <v>1</v>
      </c>
      <c r="I13">
        <v>1</v>
      </c>
      <c r="J13" s="77">
        <f>SUM(G$4:G13)-SUM(H$4:H13)-(I13)</f>
        <v>10</v>
      </c>
      <c r="K13" s="52"/>
      <c r="L13" s="40"/>
      <c r="M13" s="40"/>
      <c r="N13" s="77">
        <f>SUM(K$4:K13)-SUM(L$4:L13)-(M13)</f>
        <v>5</v>
      </c>
      <c r="O13" s="78">
        <f t="shared" si="2"/>
        <v>34</v>
      </c>
      <c r="P13" s="79">
        <f t="shared" si="1"/>
        <v>29</v>
      </c>
      <c r="Q13" s="78"/>
      <c r="R13" s="80">
        <f t="shared" si="0"/>
        <v>14.5</v>
      </c>
      <c r="S13" s="81">
        <f t="shared" si="3"/>
        <v>54.375</v>
      </c>
      <c r="T13" s="82">
        <f t="shared" si="4"/>
        <v>14.5</v>
      </c>
      <c r="U13" s="83">
        <f t="shared" si="5"/>
        <v>30.971999999999998</v>
      </c>
      <c r="V13" s="84">
        <f t="shared" si="6"/>
        <v>0.63710499490316008</v>
      </c>
      <c r="W13" s="80"/>
    </row>
    <row r="14" spans="1:24" x14ac:dyDescent="0.2">
      <c r="A14" s="85" t="s">
        <v>58</v>
      </c>
      <c r="B14" s="75"/>
      <c r="C14" s="52"/>
      <c r="D14" s="40">
        <v>3</v>
      </c>
      <c r="E14" s="86"/>
      <c r="F14" s="76">
        <f>SUM(C$4:C14)-SUM(D$4:D14)-(E14)</f>
        <v>16</v>
      </c>
      <c r="H14">
        <v>2</v>
      </c>
      <c r="J14" s="77">
        <f>SUM(G$4:G14)-SUM(H$4:H14)-(I14)</f>
        <v>9</v>
      </c>
      <c r="K14" s="52"/>
      <c r="L14" s="40">
        <v>1</v>
      </c>
      <c r="M14" s="40"/>
      <c r="N14" s="77">
        <f>SUM(K$4:K14)-SUM(L$4:L14)-(M14)</f>
        <v>4</v>
      </c>
      <c r="O14" s="78">
        <f t="shared" si="2"/>
        <v>29</v>
      </c>
      <c r="P14" s="79">
        <f t="shared" si="1"/>
        <v>25</v>
      </c>
      <c r="Q14" s="78"/>
      <c r="R14" s="80">
        <f t="shared" si="0"/>
        <v>12.5</v>
      </c>
      <c r="S14" s="81">
        <f t="shared" si="3"/>
        <v>46.875</v>
      </c>
      <c r="T14" s="82">
        <f t="shared" si="4"/>
        <v>12.5</v>
      </c>
      <c r="U14" s="83">
        <f t="shared" si="5"/>
        <v>26.7</v>
      </c>
      <c r="V14" s="84">
        <f t="shared" si="6"/>
        <v>0.63710499490315997</v>
      </c>
      <c r="W14" s="80"/>
      <c r="X14" s="40"/>
    </row>
    <row r="15" spans="1:24" x14ac:dyDescent="0.2">
      <c r="A15" s="85" t="s">
        <v>59</v>
      </c>
      <c r="B15" s="75"/>
      <c r="C15" s="52"/>
      <c r="D15" s="40">
        <v>5</v>
      </c>
      <c r="E15" s="40"/>
      <c r="F15" s="76">
        <f>SUM(C$4:C15)-SUM(D$4:D15)-(E15)</f>
        <v>11</v>
      </c>
      <c r="H15">
        <v>1</v>
      </c>
      <c r="J15" s="77">
        <f>SUM(G$4:G15)-SUM(H$4:H15)-(I15)</f>
        <v>8</v>
      </c>
      <c r="K15" s="52"/>
      <c r="L15" s="40">
        <v>1</v>
      </c>
      <c r="M15" s="40"/>
      <c r="N15" s="77">
        <f>SUM(K$4:K15)-SUM(L$4:L15)-(M15)</f>
        <v>3</v>
      </c>
      <c r="O15" s="78">
        <f t="shared" si="2"/>
        <v>22</v>
      </c>
      <c r="P15" s="79">
        <f t="shared" si="1"/>
        <v>19</v>
      </c>
      <c r="Q15" s="78"/>
      <c r="R15" s="80">
        <f t="shared" si="0"/>
        <v>9.5</v>
      </c>
      <c r="S15" s="81">
        <f t="shared" si="3"/>
        <v>35.625</v>
      </c>
      <c r="T15" s="82">
        <f t="shared" si="4"/>
        <v>9.5</v>
      </c>
      <c r="U15" s="83">
        <f t="shared" si="5"/>
        <v>20.292000000000002</v>
      </c>
      <c r="V15" s="84">
        <f t="shared" si="6"/>
        <v>0.63710499490315997</v>
      </c>
      <c r="W15" s="80"/>
      <c r="X15" s="40"/>
    </row>
    <row r="16" spans="1:24" x14ac:dyDescent="0.2">
      <c r="A16" s="85" t="s">
        <v>60</v>
      </c>
      <c r="B16" s="75"/>
      <c r="C16" s="52"/>
      <c r="D16" s="40">
        <v>2</v>
      </c>
      <c r="E16" s="40"/>
      <c r="F16" s="76">
        <f>SUM(C$4:C16)-SUM(D$4:D16)-(E16)</f>
        <v>9</v>
      </c>
      <c r="H16">
        <v>2</v>
      </c>
      <c r="J16" s="77">
        <f>SUM(G$4:G16)-SUM(H$4:H16)-(I16)</f>
        <v>6</v>
      </c>
      <c r="K16" s="52"/>
      <c r="L16" s="40">
        <v>2</v>
      </c>
      <c r="M16" s="40"/>
      <c r="N16" s="77">
        <f>SUM(K$4:K16)-SUM(L$4:L16)-(M16)</f>
        <v>1</v>
      </c>
      <c r="O16" s="78">
        <f t="shared" si="2"/>
        <v>16</v>
      </c>
      <c r="P16" s="79">
        <f t="shared" si="1"/>
        <v>15</v>
      </c>
      <c r="Q16" s="78"/>
      <c r="R16" s="80">
        <f t="shared" si="0"/>
        <v>7.5</v>
      </c>
      <c r="S16" s="81">
        <f t="shared" si="3"/>
        <v>28.125</v>
      </c>
      <c r="T16" s="82">
        <f t="shared" si="4"/>
        <v>7.5</v>
      </c>
      <c r="U16" s="83">
        <f t="shared" si="5"/>
        <v>16.02</v>
      </c>
      <c r="V16" s="84">
        <f t="shared" si="6"/>
        <v>0.63710499490316008</v>
      </c>
      <c r="W16" s="80"/>
      <c r="X16" s="40"/>
    </row>
    <row r="17" spans="1:24" x14ac:dyDescent="0.2">
      <c r="A17" s="85" t="s">
        <v>74</v>
      </c>
      <c r="B17" s="75"/>
      <c r="C17" s="52"/>
      <c r="D17" s="86">
        <v>6</v>
      </c>
      <c r="E17" s="40"/>
      <c r="F17" s="76">
        <f>SUM(C$4:C17)-SUM(D$4:D17)-(E17)</f>
        <v>3</v>
      </c>
      <c r="H17">
        <v>2</v>
      </c>
      <c r="J17" s="77">
        <f>SUM(G$4:G17)-SUM(H$4:H17)-(I17)</f>
        <v>4</v>
      </c>
      <c r="K17" s="52"/>
      <c r="L17" s="86">
        <v>1</v>
      </c>
      <c r="M17" s="40"/>
      <c r="N17" s="77">
        <f>SUM(K$4:K17)-SUM(L$4:L17)-(M17)</f>
        <v>0</v>
      </c>
      <c r="O17" s="78">
        <f t="shared" si="2"/>
        <v>7</v>
      </c>
      <c r="P17" s="79">
        <f t="shared" si="1"/>
        <v>7</v>
      </c>
      <c r="Q17" s="78"/>
      <c r="R17" s="80">
        <f t="shared" si="0"/>
        <v>3.5</v>
      </c>
      <c r="S17" s="81">
        <f t="shared" si="3"/>
        <v>13.125</v>
      </c>
      <c r="T17" s="82">
        <f t="shared" si="4"/>
        <v>3.5</v>
      </c>
      <c r="U17" s="83">
        <f t="shared" si="5"/>
        <v>7.4760000000000009</v>
      </c>
      <c r="V17" s="84">
        <f t="shared" si="6"/>
        <v>0.63710499490316008</v>
      </c>
      <c r="W17" s="80"/>
      <c r="X17" s="40"/>
    </row>
    <row r="18" spans="1:24" x14ac:dyDescent="0.2">
      <c r="A18" s="85" t="s">
        <v>79</v>
      </c>
      <c r="B18" s="75"/>
      <c r="C18" s="52"/>
      <c r="D18" s="86"/>
      <c r="E18" s="40"/>
      <c r="F18" s="76">
        <f>SUM(C$4:C18)-SUM(D$4:D18)-(E18)</f>
        <v>3</v>
      </c>
      <c r="H18">
        <v>1</v>
      </c>
      <c r="J18" s="77">
        <f>SUM(G$4:G18)-SUM(H$4:H18)-(I18)</f>
        <v>3</v>
      </c>
      <c r="K18" s="52"/>
      <c r="L18" s="86"/>
      <c r="M18" s="40"/>
      <c r="N18" s="77">
        <f>SUM(K$4:K18)-SUM(L$4:L18)-(M18)</f>
        <v>0</v>
      </c>
      <c r="O18" s="78"/>
      <c r="P18" s="79">
        <f t="shared" si="1"/>
        <v>6</v>
      </c>
      <c r="Q18" s="78"/>
      <c r="R18" s="80">
        <f t="shared" si="0"/>
        <v>3</v>
      </c>
      <c r="S18" s="81">
        <f>R18*$T$28*$T$26</f>
        <v>11.25</v>
      </c>
      <c r="T18" s="82">
        <f>P18*$T$25</f>
        <v>3</v>
      </c>
      <c r="U18" s="83">
        <f t="shared" si="5"/>
        <v>6.4079999999999995</v>
      </c>
      <c r="V18" s="84">
        <f t="shared" si="6"/>
        <v>0.63710499490315997</v>
      </c>
      <c r="W18" s="80"/>
      <c r="X18" s="40"/>
    </row>
    <row r="19" spans="1:24" x14ac:dyDescent="0.2">
      <c r="A19" s="85" t="s">
        <v>61</v>
      </c>
      <c r="B19" s="75"/>
      <c r="C19" s="52"/>
      <c r="D19" s="86"/>
      <c r="E19" s="40"/>
      <c r="F19" s="76">
        <f>SUM(C$4:C19)-SUM(D$4:D19)-(E19)</f>
        <v>3</v>
      </c>
      <c r="J19" s="77">
        <f>SUM(G$4:G19)-SUM(H$4:H19)-(I19)</f>
        <v>3</v>
      </c>
      <c r="K19" s="52"/>
      <c r="L19" s="86"/>
      <c r="M19" s="40"/>
      <c r="N19" s="77">
        <f>SUM(K$4:K19)-SUM(L$4:L19)-(M19)</f>
        <v>0</v>
      </c>
      <c r="O19" s="78">
        <f t="shared" si="2"/>
        <v>6</v>
      </c>
      <c r="P19" s="79">
        <f t="shared" si="1"/>
        <v>6</v>
      </c>
      <c r="Q19" s="78"/>
      <c r="R19" s="80">
        <f>$P19</f>
        <v>6</v>
      </c>
      <c r="S19" s="81">
        <f t="shared" si="3"/>
        <v>22.5</v>
      </c>
      <c r="T19" s="82">
        <f t="shared" si="4"/>
        <v>3</v>
      </c>
      <c r="U19" s="83">
        <f t="shared" si="5"/>
        <v>6.4079999999999995</v>
      </c>
      <c r="V19" s="84">
        <f t="shared" si="6"/>
        <v>0.77833125778331258</v>
      </c>
      <c r="W19" s="80"/>
      <c r="X19" s="40"/>
    </row>
    <row r="20" spans="1:24" x14ac:dyDescent="0.2">
      <c r="A20" s="87" t="s">
        <v>29</v>
      </c>
      <c r="B20" s="88"/>
      <c r="C20" s="2">
        <v>1</v>
      </c>
      <c r="D20" s="89">
        <v>3</v>
      </c>
      <c r="E20" s="2"/>
      <c r="F20" s="76">
        <f>SUM(C$4:C20)-SUM(D$4:D20)-(E20)</f>
        <v>1</v>
      </c>
      <c r="G20" s="2">
        <v>1</v>
      </c>
      <c r="H20" s="2">
        <v>1</v>
      </c>
      <c r="I20" s="2"/>
      <c r="J20" s="77">
        <f>SUM(G$4:G20)-SUM(H$4:H20)-(I20)</f>
        <v>3</v>
      </c>
      <c r="K20" s="2"/>
      <c r="L20" s="2"/>
      <c r="M20" s="2"/>
      <c r="N20" s="77">
        <f>SUM(K$4:K20)-SUM(L$4:L20)-(M20)</f>
        <v>0</v>
      </c>
      <c r="O20" s="90">
        <f t="shared" si="2"/>
        <v>4</v>
      </c>
      <c r="P20" s="79">
        <f t="shared" si="1"/>
        <v>4</v>
      </c>
      <c r="Q20" s="78"/>
      <c r="R20" s="80">
        <f>$P20</f>
        <v>4</v>
      </c>
      <c r="S20" s="81">
        <f t="shared" si="3"/>
        <v>15</v>
      </c>
      <c r="T20" s="82">
        <f t="shared" si="4"/>
        <v>2</v>
      </c>
      <c r="U20" s="83">
        <f t="shared" si="5"/>
        <v>4.2720000000000002</v>
      </c>
      <c r="V20" s="84">
        <f t="shared" si="6"/>
        <v>0.77833125778331269</v>
      </c>
      <c r="W20" s="80"/>
      <c r="X20" s="40"/>
    </row>
    <row r="21" spans="1:24" x14ac:dyDescent="0.2">
      <c r="A21" s="87" t="s">
        <v>46</v>
      </c>
      <c r="B21" s="88"/>
      <c r="C21" s="2">
        <f>SUM(C4:C20)</f>
        <v>20</v>
      </c>
      <c r="D21" s="2">
        <f>SUM(D4:D20)</f>
        <v>19</v>
      </c>
      <c r="E21" s="2">
        <f>SUM(E4:E20)</f>
        <v>16</v>
      </c>
      <c r="F21" s="114">
        <f>SUM(F5:F20)</f>
        <v>150</v>
      </c>
      <c r="G21" s="5">
        <f>SUM(G4:G20)</f>
        <v>13</v>
      </c>
      <c r="H21" s="5">
        <f>SUM(H4:H20)</f>
        <v>10</v>
      </c>
      <c r="I21" s="5">
        <f>SUM(I4:I20)</f>
        <v>11</v>
      </c>
      <c r="J21" s="113">
        <f>SUM(J5:J20)</f>
        <v>108</v>
      </c>
      <c r="K21" s="5">
        <f>SUM(K4:K20)</f>
        <v>5</v>
      </c>
      <c r="L21" s="5">
        <f>SUM(L4:L20)</f>
        <v>5</v>
      </c>
      <c r="M21" s="5">
        <f>SUM(M4:M20)</f>
        <v>5</v>
      </c>
      <c r="N21" s="113">
        <f>SUM(N4:N20)</f>
        <v>39</v>
      </c>
      <c r="O21" s="90"/>
      <c r="P21" s="91">
        <f>SUM(P5:P20)</f>
        <v>258</v>
      </c>
      <c r="Q21" s="92"/>
      <c r="R21" s="93"/>
      <c r="S21" s="94">
        <f>SUM(S5:S20)</f>
        <v>502.5</v>
      </c>
      <c r="T21" s="93"/>
      <c r="U21" s="93">
        <f>SUM(U5:U20)</f>
        <v>275.54400000000004</v>
      </c>
      <c r="V21" s="95"/>
      <c r="W21" s="80"/>
      <c r="X21" s="40"/>
    </row>
    <row r="22" spans="1:24" ht="12.75" customHeight="1" x14ac:dyDescent="0.2">
      <c r="P22" s="96"/>
      <c r="Q22" s="96"/>
      <c r="R22" s="96"/>
      <c r="S22" s="97"/>
      <c r="T22" s="97"/>
      <c r="U22" s="97"/>
      <c r="V22" s="97"/>
      <c r="W22" s="97"/>
    </row>
    <row r="23" spans="1:24" ht="12.75" customHeight="1" x14ac:dyDescent="0.2">
      <c r="R23" s="98" t="s">
        <v>62</v>
      </c>
      <c r="S23" s="106"/>
      <c r="T23" s="107"/>
      <c r="U23" s="97"/>
      <c r="V23" s="97"/>
    </row>
    <row r="24" spans="1:24" x14ac:dyDescent="0.2">
      <c r="R24" s="99" t="s">
        <v>63</v>
      </c>
      <c r="S24" s="100"/>
      <c r="T24" s="101">
        <v>0.5</v>
      </c>
      <c r="U24" s="102"/>
      <c r="V24" s="102"/>
    </row>
    <row r="25" spans="1:24" x14ac:dyDescent="0.2">
      <c r="R25" s="99" t="s">
        <v>64</v>
      </c>
      <c r="S25" s="100"/>
      <c r="T25" s="101">
        <v>0.5</v>
      </c>
      <c r="U25" s="102"/>
      <c r="V25" s="102"/>
    </row>
    <row r="26" spans="1:24" x14ac:dyDescent="0.2">
      <c r="R26" s="99" t="s">
        <v>65</v>
      </c>
      <c r="S26" s="100"/>
      <c r="T26" s="101">
        <v>0.625</v>
      </c>
      <c r="U26" s="102"/>
      <c r="V26" s="102"/>
    </row>
    <row r="27" spans="1:24" x14ac:dyDescent="0.2">
      <c r="R27" s="99" t="s">
        <v>66</v>
      </c>
      <c r="S27" s="100"/>
      <c r="T27" s="101">
        <v>0.89</v>
      </c>
      <c r="U27" s="102"/>
      <c r="V27" s="102"/>
    </row>
    <row r="28" spans="1:24" x14ac:dyDescent="0.2">
      <c r="R28" s="99" t="s">
        <v>67</v>
      </c>
      <c r="S28" s="100"/>
      <c r="T28" s="101">
        <v>6</v>
      </c>
    </row>
    <row r="29" spans="1:24" x14ac:dyDescent="0.2">
      <c r="R29" s="99" t="s">
        <v>68</v>
      </c>
      <c r="S29" s="100"/>
      <c r="T29" s="101">
        <v>2.4</v>
      </c>
    </row>
    <row r="30" spans="1:24" x14ac:dyDescent="0.2">
      <c r="R30" s="103" t="s">
        <v>69</v>
      </c>
      <c r="S30" s="104"/>
      <c r="T30" s="105">
        <v>1.3</v>
      </c>
    </row>
    <row r="33" spans="18:21" x14ac:dyDescent="0.2">
      <c r="R33" s="401" t="s">
        <v>70</v>
      </c>
      <c r="S33" s="401"/>
      <c r="T33" s="400">
        <v>40822</v>
      </c>
      <c r="U33" s="400"/>
    </row>
  </sheetData>
  <customSheetViews>
    <customSheetView guid="{F6731307-C738-4B81-929D-C14136A8C5CD}" hiddenColumns="1">
      <selection activeCell="AA36" sqref="AA36"/>
      <pageMargins left="0.75" right="0.75" top="1" bottom="1" header="0.5" footer="0.5"/>
    </customSheetView>
    <customSheetView guid="{0F3AF1BA-63A8-4070-AD04-7CF3FB7A7890}" hiddenColumns="1">
      <selection activeCell="AA36" sqref="AA36"/>
      <pageMargins left="0.75" right="0.75" top="1" bottom="1" header="0.5" footer="0.5"/>
    </customSheetView>
    <customSheetView guid="{208A5925-1FA9-41B4-AB84-DB668CD24F85}" showPageBreaks="1" hiddenColumns="1">
      <selection activeCell="AA36" sqref="AA36"/>
      <pageMargins left="0.75" right="0.75" top="1" bottom="1" header="0.5" footer="0.5"/>
      <pageSetup orientation="portrait" r:id="rId1"/>
    </customSheetView>
    <customSheetView guid="{633586D4-0157-4906-81B3-3B97799576BB}" hiddenColumns="1">
      <selection activeCell="AA36" sqref="AA36"/>
      <pageMargins left="0.75" right="0.75" top="1" bottom="1" header="0.5" footer="0.5"/>
    </customSheetView>
    <customSheetView guid="{B03D3321-8578-44D0-9847-93996289F773}" hiddenColumns="1">
      <selection activeCell="AA36" sqref="AA36"/>
      <pageMargins left="0.75" right="0.75" top="1" bottom="1" header="0.5" footer="0.5"/>
    </customSheetView>
    <customSheetView guid="{CD25A284-0610-4E49-A3AF-D88A397CDAA5}" hiddenColumns="1">
      <selection activeCell="T25" sqref="T25"/>
      <pageMargins left="0.75" right="0.75" top="1" bottom="1" header="0.5" footer="0.5"/>
    </customSheetView>
    <customSheetView guid="{307CC01B-ED49-401B-8364-093EDA4EF533}" hiddenColumns="1">
      <selection activeCell="AA36" sqref="AA36"/>
      <pageMargins left="0.75" right="0.75" top="1" bottom="1" header="0.5" footer="0.5"/>
    </customSheetView>
    <customSheetView guid="{BD40F652-0BD1-49AB-8864-915916104548}" hiddenColumns="1">
      <selection activeCell="AA36" sqref="AA36"/>
      <pageMargins left="0.75" right="0.75" top="1" bottom="1" header="0.5" footer="0.5"/>
    </customSheetView>
    <customSheetView guid="{655C266F-B06D-4F08-B6E7-FAA4004CC24D}" hiddenColumns="1">
      <selection activeCell="AA36" sqref="AA36"/>
      <pageMargins left="0.75" right="0.75" top="1" bottom="1" header="0.5" footer="0.5"/>
    </customSheetView>
    <customSheetView guid="{510EAB28-63CB-43E2-9432-C75C3110CE1E}" hiddenColumns="1">
      <selection activeCell="AA36" sqref="AA36"/>
      <pageMargins left="0.75" right="0.75" top="1" bottom="1" header="0.5" footer="0.5"/>
    </customSheetView>
  </customSheetViews>
  <mergeCells count="8">
    <mergeCell ref="T33:U33"/>
    <mergeCell ref="R33:S33"/>
    <mergeCell ref="A1:V1"/>
    <mergeCell ref="K2:N2"/>
    <mergeCell ref="G2:J2"/>
    <mergeCell ref="C2:F2"/>
    <mergeCell ref="R2:S2"/>
    <mergeCell ref="T2:U2"/>
  </mergeCells>
  <pageMargins left="0.75" right="0.75" top="1" bottom="1" header="0.5" footer="0.5"/>
  <pageSetup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SCHEDULE</vt:lpstr>
      <vt:lpstr>WeekendTracker</vt:lpstr>
      <vt:lpstr>Special Program Schedules</vt:lpstr>
      <vt:lpstr>Calculator</vt:lpstr>
      <vt:lpstr>EndDate</vt:lpstr>
      <vt:lpstr>StartDate</vt:lpstr>
    </vt:vector>
  </TitlesOfParts>
  <Company>Xactware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sestroup@xactware.com</dc:creator>
  <cp:lastModifiedBy>Sharla Tucker</cp:lastModifiedBy>
  <cp:lastPrinted>2007-10-04T16:34:00Z</cp:lastPrinted>
  <dcterms:created xsi:type="dcterms:W3CDTF">2006-12-18T21:38:38Z</dcterms:created>
  <dcterms:modified xsi:type="dcterms:W3CDTF">2016-08-19T13:24:14Z</dcterms:modified>
</cp:coreProperties>
</file>